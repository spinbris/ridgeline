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E1D7848-4718-4A31-8F24-124AA0680482}" xr6:coauthVersionLast="47" xr6:coauthVersionMax="47" xr10:uidLastSave="{00000000-0000-0000-0000-000000000000}"/>
  <workbookProtection lockStructure="1"/>
  <bookViews>
    <workbookView xWindow="-110" yWindow="-110" windowWidth="38620" windowHeight="21100" xr2:uid="{00000000-000D-0000-FFFF-FFFF00000000}"/>
  </bookViews>
  <sheets>
    <sheet name="TOC &amp; Instructions" sheetId="1" r:id="rId1"/>
    <sheet name="Risk Register" sheetId="2" r:id="rId2"/>
    <sheet name="Lists" sheetId="3" r:id="rId3"/>
    <sheet name="Mapping" sheetId="4" r:id="rId4"/>
    <sheet name="Risk_Activity_Patterns" sheetId="5" r:id="rId5"/>
    <sheet name="Risk_Pattern_Assignments" sheetId="6" r:id="rId6"/>
    <sheet name="Treatments" sheetId="7" r:id="rId7"/>
    <sheet name="Summary" sheetId="8" r:id="rId8"/>
    <sheet name="MC_Params" sheetId="9" r:id="rId9"/>
    <sheet name="EMV &amp; Mode Analysis" sheetId="10" r:id="rId10"/>
    <sheet name="Layer1_Base" sheetId="11" r:id="rId11"/>
    <sheet name="Layer1_Factors" sheetId="12" r:id="rId12"/>
    <sheet name="Layer1_Allocation" sheetId="13" r:id="rId13"/>
    <sheet name="Layer1_Correlation" sheetId="14" r:id="rId14"/>
    <sheet name="Methodology" sheetId="15" r:id="rId15"/>
    <sheet name="Settings" sheetId="16" r:id="rId16"/>
    <sheet name="Simulation" sheetId="17" r:id="rId17"/>
    <sheet name="Reference (xlwings)" sheetId="18" r:id="rId18"/>
  </sheets>
  <definedNames>
    <definedName name="_xlnm._FilterDatabase" localSheetId="1" hidden="1">'Risk Register'!$A$4:$AE$44</definedName>
    <definedName name="Corr_flag">Simulation!$H$1</definedName>
    <definedName name="Grid_Layer1_Allocation">Layer1_Allocation!$A$1:$M$26</definedName>
    <definedName name="Grid_Layer1_Base">Layer1_Base!$A$1:$I$16</definedName>
    <definedName name="Grid_Layer1_Correlation">Layer1_Correlation!$A$1:$Z$29</definedName>
    <definedName name="Grid_Layer1_Factors">Layer1_Factors!$A$1:$F$26</definedName>
    <definedName name="Grid_Mapping">Mapping!$A$1:$F$46</definedName>
    <definedName name="Grid_Methodology">Methodology!$A$1:$C$23</definedName>
    <definedName name="Grid_RiskRegister">'Risk Register'!$A$1:$AE$44</definedName>
    <definedName name="List_CGCode">OFFSET(Lists!$F$3,0,0,MAX(COUNTA(Lists!$F$3:$F$1000),1),1)</definedName>
    <definedName name="List_Distribution">OFFSET(Lists!$A$3,0,0,MAX(COUNTA(Lists!$A$3:$A$1000),1),1)</definedName>
    <definedName name="List_Factor">OFFSET(Lists!$J$3,0,0,MAX(COUNTA(Lists!$J$3:$J$1000),1),1)</definedName>
    <definedName name="List_MCInclude">OFFSET(Lists!$B$3,0,0,MAX(COUNTA(Lists!$B$3:$B$1000),1),1)</definedName>
    <definedName name="List_Mode">OFFSET(Lists!$E$3,0,0,MAX(COUNTA(Lists!$E$3:$E$1000),1),1)</definedName>
    <definedName name="List_Package">OFFSET(Lists!$I$3,0,0,MAX(COUNTA(Lists!$I$3:$I$1000),1),1)</definedName>
    <definedName name="List_RBS_L1">OFFSET(Lists!$G$3,0,0,MAX(COUNTA(Lists!$G$3:$G$1000),1),1)</definedName>
    <definedName name="List_RBS_L2">OFFSET(Lists!$H$3,0,0,MAX(COUNTA(Lists!$H$3:$H$1000),1),1)</definedName>
    <definedName name="List_Recurrence">OFFSET(Lists!$D$3,0,0,MAX(COUNTA(Lists!$D$3:$D$1000),1),1)</definedName>
    <definedName name="List_TimeImpact">OFFSET(Lists!$C$3,0,0,MAX(COUNTA(Lists!$C$3:$C$1000),1),1)</definedName>
    <definedName name="MC_day_rate">MC_Params!$C$11</definedName>
    <definedName name="Out_conv_halfwidth">Simulation!$H$3</definedName>
    <definedName name="Out_conv_pct">Simulation!$H$4</definedName>
    <definedName name="Out_ptable">Simulation!$A$2:$B$20</definedName>
    <definedName name="Out_scurve">Simulation!$D$2:$E$102</definedName>
    <definedName name="Out_triple">Simulation!$I$2:$L$20</definedName>
    <definedName name="Out_validation">Simulation!$N$2:$N$3</definedName>
    <definedName name="_xlnm.Print_Area" localSheetId="1">'Risk Register'!$A$1:$AE$44</definedName>
    <definedName name="_xlnm.Print_Titles" localSheetId="1">'Risk Register'!$3:$4</definedName>
    <definedName name="Set_Client">'TOC &amp; Instructions'!$B$63</definedName>
    <definedName name="Set_ContractVersion">Settings!$B$6</definedName>
    <definedName name="Set_IssueDate">'TOC &amp; Instructions'!$B$66</definedName>
    <definedName name="Set_iterations">Settings!$B$1</definedName>
    <definedName name="Set_iterations_max">Settings!$B$5</definedName>
    <definedName name="Set_Layer1_Enabled">Settings!$B$8</definedName>
    <definedName name="Set_PreparedBy">'TOC &amp; Instructions'!$B$64</definedName>
    <definedName name="Set_ProjectName">'TOC &amp; Instructions'!$B$61</definedName>
    <definedName name="Set_ProjectNumber">'TOC &amp; Instructions'!$B$62</definedName>
    <definedName name="Set_Revision">'TOC &amp; Instructions'!$B$65</definedName>
    <definedName name="Set_risk_prefix">Settings!$B$4</definedName>
    <definedName name="Set_seed">Settings!$B$2</definedName>
    <definedName name="Set_view">Settings!$B$3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0" l="1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B8" i="10"/>
  <c r="B1" i="8"/>
  <c r="B2" i="8" s="1"/>
  <c r="AC44" i="2"/>
  <c r="AD44" i="2" s="1"/>
  <c r="B94" i="10" s="1"/>
  <c r="AB44" i="2"/>
  <c r="B51" i="10" s="1"/>
  <c r="AC43" i="2"/>
  <c r="AD43" i="2" s="1"/>
  <c r="B93" i="10" s="1"/>
  <c r="AB43" i="2"/>
  <c r="B50" i="10" s="1"/>
  <c r="AC42" i="2"/>
  <c r="AD42" i="2" s="1"/>
  <c r="B92" i="10" s="1"/>
  <c r="AB42" i="2"/>
  <c r="B49" i="10" s="1"/>
  <c r="AC41" i="2"/>
  <c r="AD41" i="2" s="1"/>
  <c r="B91" i="10" s="1"/>
  <c r="AB41" i="2"/>
  <c r="B48" i="10" s="1"/>
  <c r="AC40" i="2"/>
  <c r="AD40" i="2" s="1"/>
  <c r="B90" i="10" s="1"/>
  <c r="AB40" i="2"/>
  <c r="B47" i="10" s="1"/>
  <c r="AC39" i="2"/>
  <c r="AD39" i="2" s="1"/>
  <c r="B89" i="10" s="1"/>
  <c r="AB39" i="2"/>
  <c r="B46" i="10" s="1"/>
  <c r="AC38" i="2"/>
  <c r="AD38" i="2" s="1"/>
  <c r="B88" i="10" s="1"/>
  <c r="AB38" i="2"/>
  <c r="B45" i="10" s="1"/>
  <c r="AC37" i="2"/>
  <c r="AD37" i="2" s="1"/>
  <c r="B87" i="10" s="1"/>
  <c r="AB37" i="2"/>
  <c r="B44" i="10" s="1"/>
  <c r="AC36" i="2"/>
  <c r="AD36" i="2" s="1"/>
  <c r="B86" i="10" s="1"/>
  <c r="AB36" i="2"/>
  <c r="B43" i="10" s="1"/>
  <c r="AC35" i="2"/>
  <c r="AD35" i="2" s="1"/>
  <c r="B85" i="10" s="1"/>
  <c r="AB35" i="2"/>
  <c r="B42" i="10" s="1"/>
  <c r="AC34" i="2"/>
  <c r="AD34" i="2" s="1"/>
  <c r="B84" i="10" s="1"/>
  <c r="AB34" i="2"/>
  <c r="B41" i="10" s="1"/>
  <c r="AC33" i="2"/>
  <c r="AD33" i="2" s="1"/>
  <c r="B83" i="10" s="1"/>
  <c r="AB33" i="2"/>
  <c r="B40" i="10" s="1"/>
  <c r="AC32" i="2"/>
  <c r="AD32" i="2" s="1"/>
  <c r="B82" i="10" s="1"/>
  <c r="AB32" i="2"/>
  <c r="B39" i="10" s="1"/>
  <c r="AC31" i="2"/>
  <c r="AD31" i="2" s="1"/>
  <c r="B81" i="10" s="1"/>
  <c r="AB31" i="2"/>
  <c r="B38" i="10" s="1"/>
  <c r="AC30" i="2"/>
  <c r="AD30" i="2" s="1"/>
  <c r="B80" i="10" s="1"/>
  <c r="AB30" i="2"/>
  <c r="B37" i="10" s="1"/>
  <c r="AC29" i="2"/>
  <c r="AD29" i="2" s="1"/>
  <c r="B79" i="10" s="1"/>
  <c r="AB29" i="2"/>
  <c r="B36" i="10" s="1"/>
  <c r="AC28" i="2"/>
  <c r="AD28" i="2" s="1"/>
  <c r="B78" i="10" s="1"/>
  <c r="AB28" i="2"/>
  <c r="B35" i="10" s="1"/>
  <c r="AC27" i="2"/>
  <c r="AD27" i="2" s="1"/>
  <c r="B77" i="10" s="1"/>
  <c r="AB27" i="2"/>
  <c r="B34" i="10" s="1"/>
  <c r="AC26" i="2"/>
  <c r="AD26" i="2" s="1"/>
  <c r="B76" i="10" s="1"/>
  <c r="AB26" i="2"/>
  <c r="B33" i="10" s="1"/>
  <c r="AC25" i="2"/>
  <c r="AD25" i="2" s="1"/>
  <c r="B75" i="10" s="1"/>
  <c r="AB25" i="2"/>
  <c r="B32" i="10" s="1"/>
  <c r="AC24" i="2"/>
  <c r="AD24" i="2" s="1"/>
  <c r="B74" i="10" s="1"/>
  <c r="AB24" i="2"/>
  <c r="B31" i="10" s="1"/>
  <c r="AC23" i="2"/>
  <c r="AD23" i="2" s="1"/>
  <c r="B73" i="10" s="1"/>
  <c r="AB23" i="2"/>
  <c r="B30" i="10" s="1"/>
  <c r="AC22" i="2"/>
  <c r="AD22" i="2" s="1"/>
  <c r="B72" i="10" s="1"/>
  <c r="AB22" i="2"/>
  <c r="B29" i="10" s="1"/>
  <c r="AC21" i="2"/>
  <c r="AD21" i="2" s="1"/>
  <c r="B71" i="10" s="1"/>
  <c r="AB21" i="2"/>
  <c r="B28" i="10" s="1"/>
  <c r="AC20" i="2"/>
  <c r="AD20" i="2" s="1"/>
  <c r="B70" i="10" s="1"/>
  <c r="AB20" i="2"/>
  <c r="B27" i="10" s="1"/>
  <c r="AC19" i="2"/>
  <c r="AD19" i="2" s="1"/>
  <c r="B69" i="10" s="1"/>
  <c r="AB19" i="2"/>
  <c r="B26" i="10" s="1"/>
  <c r="AC18" i="2"/>
  <c r="AD18" i="2" s="1"/>
  <c r="B68" i="10" s="1"/>
  <c r="AB18" i="2"/>
  <c r="B25" i="10" s="1"/>
  <c r="AC17" i="2"/>
  <c r="AD17" i="2" s="1"/>
  <c r="B67" i="10" s="1"/>
  <c r="AB17" i="2"/>
  <c r="B24" i="10" s="1"/>
  <c r="AC16" i="2"/>
  <c r="AD16" i="2" s="1"/>
  <c r="B66" i="10" s="1"/>
  <c r="AB16" i="2"/>
  <c r="B23" i="10" s="1"/>
  <c r="AC15" i="2"/>
  <c r="AD15" i="2" s="1"/>
  <c r="B65" i="10" s="1"/>
  <c r="AB15" i="2"/>
  <c r="B22" i="10" s="1"/>
  <c r="AC14" i="2"/>
  <c r="AD14" i="2" s="1"/>
  <c r="B64" i="10" s="1"/>
  <c r="AB14" i="2"/>
  <c r="B21" i="10" s="1"/>
  <c r="AC13" i="2"/>
  <c r="AD13" i="2" s="1"/>
  <c r="B63" i="10" s="1"/>
  <c r="AB13" i="2"/>
  <c r="B20" i="10" s="1"/>
  <c r="AC12" i="2"/>
  <c r="AD12" i="2" s="1"/>
  <c r="B62" i="10" s="1"/>
  <c r="AB12" i="2"/>
  <c r="B19" i="10" s="1"/>
  <c r="AC11" i="2"/>
  <c r="AD11" i="2" s="1"/>
  <c r="B61" i="10" s="1"/>
  <c r="AB11" i="2"/>
  <c r="B18" i="10" s="1"/>
  <c r="AC10" i="2"/>
  <c r="AD10" i="2" s="1"/>
  <c r="B60" i="10" s="1"/>
  <c r="AB10" i="2"/>
  <c r="B17" i="10" s="1"/>
  <c r="AC9" i="2"/>
  <c r="AD9" i="2" s="1"/>
  <c r="B59" i="10" s="1"/>
  <c r="AB9" i="2"/>
  <c r="B16" i="10" s="1"/>
  <c r="AC8" i="2"/>
  <c r="AD8" i="2" s="1"/>
  <c r="B58" i="10" s="1"/>
  <c r="AB8" i="2"/>
  <c r="B15" i="10" s="1"/>
  <c r="AC7" i="2"/>
  <c r="AD7" i="2" s="1"/>
  <c r="B57" i="10" s="1"/>
  <c r="AB7" i="2"/>
  <c r="B14" i="10" s="1"/>
  <c r="AC6" i="2"/>
  <c r="AD6" i="2" s="1"/>
  <c r="B56" i="10" s="1"/>
  <c r="AB6" i="2"/>
  <c r="B13" i="10" s="1"/>
  <c r="AC5" i="2"/>
  <c r="AB5" i="2"/>
  <c r="B3" i="1"/>
  <c r="AD5" i="2" l="1"/>
  <c r="B3" i="8"/>
  <c r="B4" i="8" s="1"/>
  <c r="B12" i="10"/>
  <c r="B5" i="10"/>
  <c r="B98" i="10"/>
  <c r="B6" i="10"/>
  <c r="B55" i="10"/>
  <c r="B99" i="10" l="1"/>
  <c r="B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register_scaffold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Chooses how the three-point estimate is read. Triangular and PERT treat Optimistic/Pessimistic as ABSOLUTE BOUNDS; Lognormal treats them as roughly P10/P90 with a tail beyond Pessimistic, and Most Likely as the median. One of: Triangular, PERT, Binary, Binary/PERT, Lognormal.</t>
        </r>
      </text>
    </comment>
    <comment ref="O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 FRACTION between 0 and 1, not a percentage. 0.45 means 45%. Entering 45 makes the risk fire on every iteration, silently.</t>
        </r>
      </text>
    </comment>
    <comment ref="P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Cost if the risk occurs and goes well. Its meaning depends on Distribution: a bound under Triangular/PERT, roughly the P10 under Lognormal. This is the cost GIVEN the risk occurs — the probability is applied separately.</t>
        </r>
      </text>
    </comment>
    <comment ref="Q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The modal cost given the risk occurs. Under Lognormal this is the median.</t>
        </r>
      </text>
    </comment>
    <comment ref="R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Cost if the risk occurs and goes badly. A bound under Triangular/PERT; roughly the P90 under Lognormal, which samples beyond it.</t>
        </r>
      </text>
    </comment>
    <comment ref="T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Yes if this risk also delays the schedule. A Yes row must carry a Mode and a row on the Mapping sheet, or the schedule arm cannot bind it. One of: Yes, No.</t>
        </r>
      </text>
    </comment>
    <comment ref="U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 fraction between 0 and 1, as for Probability. 0.45 means 45%.</t>
        </r>
      </text>
    </comment>
    <comment ref="Z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How the delay combines with others. Required on every Time Impact = Yes row; the build fails without it. One of: Series, Hybrid, Parallel.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register_scaffold</author>
  </authors>
  <commentList>
    <comment ref="C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ONE activity-code prefix, despite the column name — e.g. `20.` to bind every activity whose code starts with 20, or a full code to bind exactly one. A trailing dot is stripped. Blank = the risk binds nothing and contributes no delay.</t>
        </r>
      </text>
    </comment>
    <comment ref="E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The single activity this risk gates, as it appears in the schedule. An ID that names no activity is SKIPPED, not guessed — the risk then falls back to the programme profile with nothing on screen saying so.</t>
        </r>
      </text>
    </comment>
    <comment ref="F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How the sampled delay is applied to the bound activities. One of: additive_pert_days, discrete_event_additive_days, productivity_multiplicative_factor. Blank = use the register default, Methodology!Default_Injection_Method.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register_scaffold</author>
  </authors>
  <commentList>
    <comment ref="E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Free text — any scale you like, or leave it blank. Nothing in the engine reads it; it is provenance for whoever reviews the mapping. Blank = nothing; the engine does not read this column.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register_scaffold</author>
  </authors>
  <commentList>
    <comment ref="C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Free text, as for Default_Mapping_Confidence. Read into the frame and never used in a calculation. Blank = nothing; the engine does not read this column.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register_scaffold</author>
  </authors>
  <commentList>
    <comment ref="C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 PERCENTAGE: enter 30 for 30%. The engine also accepts a 0-1 fraction and splits the two at 1.0 — so 1.0 is read as 1%, NOT as fully effective. Enter 100 for a fully effective treatment.</t>
        </r>
      </text>
    </comment>
    <comment ref="D5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Free text. Record how firm the effectiveness estimate is, in your own words.</t>
        </r>
      </text>
    </comment>
  </commentList>
</comments>
</file>

<file path=xl/sharedStrings.xml><?xml version="1.0" encoding="utf-8"?>
<sst xmlns="http://schemas.openxmlformats.org/spreadsheetml/2006/main" count="629" uniqueCount="528">
  <si>
    <t>Cost-QRA Register - project input document</t>
  </si>
  <si>
    <t>Scaffolded once by tools/register_scaffold.py, then this file is yours - fill it in, it is standalone. Re-scaffolding is never run against a live register.</t>
  </si>
  <si>
    <t>Register contract</t>
  </si>
  <si>
    <t>The engine checks this on every run and refuses on any mismatch. Shown here from Settings!B6, never typed twice.</t>
  </si>
  <si>
    <t>Tabs, in the order you fill them (auto-generated from the sheet inventory)</t>
  </si>
  <si>
    <t>MC_Params</t>
  </si>
  <si>
    <t>Engine run parameters: day rate, programme seasons, CP threshold, TIC. Fill the day rate or schedule-dollar figures stay zero. Settings holds iterations/seed/view.</t>
  </si>
  <si>
    <t>you fill</t>
  </si>
  <si>
    <t>Lists</t>
  </si>
  <si>
    <t>Cascade lists - edit here; the dropdowns follow.</t>
  </si>
  <si>
    <t>Risk Register</t>
  </si>
  <si>
    <t>Event risks - cost + schedule three-point inputs, EMV.</t>
  </si>
  <si>
    <t>Mapping</t>
  </si>
  <si>
    <t>P6/CPM binding for schedule (Time=Yes) risks.</t>
  </si>
  <si>
    <t>Risk_Activity_Patterns</t>
  </si>
  <si>
    <t>Schedule risk-to-activity patterns - workshop input, you fill this.</t>
  </si>
  <si>
    <t>Risk_Pattern_Assignments</t>
  </si>
  <si>
    <t>Per-risk pattern assignment - workshop input, you fill this.</t>
  </si>
  <si>
    <t>Treatments</t>
  </si>
  <si>
    <t>Per-risk treatments + effectiveness - workshop input, you fill this.</t>
  </si>
  <si>
    <t>Methodology</t>
  </si>
  <si>
    <t>CG correlation coefficients + Mode multipliers.</t>
  </si>
  <si>
    <t>Settings</t>
  </si>
  <si>
    <t>Run settings (iterations/seed/view/prefix); the LIVE run-config surface.</t>
  </si>
  <si>
    <t>Layer1_Base</t>
  </si>
  <si>
    <t>Layer-1 base estimate matrix.</t>
  </si>
  <si>
    <t>Layer1_Factors</t>
  </si>
  <si>
    <t>Layer-1 risk factors.</t>
  </si>
  <si>
    <t>Layer1_Allocation</t>
  </si>
  <si>
    <t>Layer-1 factor x WBS allocation.</t>
  </si>
  <si>
    <t>Layer1_Correlation</t>
  </si>
  <si>
    <t>Layer-1 factor correlation matrix.</t>
  </si>
  <si>
    <t>Summary</t>
  </si>
  <si>
    <t>SRA calibration comparators 1 and 2 - CALCULATED from the register, do not type.</t>
  </si>
  <si>
    <t>calculated</t>
  </si>
  <si>
    <t>EMV &amp; Mode Analysis</t>
  </si>
  <si>
    <t>Deterministic Layer-1 EMV + Mode charts.</t>
  </si>
  <si>
    <t>Simulation</t>
  </si>
  <si>
    <t>Model write-back: P-curve, S-curve, convergence.</t>
  </si>
  <si>
    <t>model writes</t>
  </si>
  <si>
    <t>Reference (xlwings)</t>
  </si>
  <si>
    <t>xlwings requirements + @script (paste-once).</t>
  </si>
  <si>
    <t>reference</t>
  </si>
  <si>
    <t>Cell-type legend</t>
  </si>
  <si>
    <t>input</t>
  </si>
  <si>
    <t>Blue font, unlocked - you fill this in.</t>
  </si>
  <si>
    <t>calc</t>
  </si>
  <si>
    <t>Black font, locked - a live Excel formula (do not overwrite).</t>
  </si>
  <si>
    <t>model</t>
  </si>
  <si>
    <t>Amber fill - written by the model each run; do not edit.</t>
  </si>
  <si>
    <t>model-read</t>
  </si>
  <si>
    <t>Thin blue border - the Python model reads this cell (may also be an input).</t>
  </si>
  <si>
    <t>Methodology defaults</t>
  </si>
  <si>
    <t>The Methodology tab ships with CG coefficients defaulted to 0.5 - review / elicit per project. Mode multipliers (Series 1.0 / Hybrid 0.5 / Parallel 0.0) are locked methodology constants.</t>
  </si>
  <si>
    <t>Layer 1 - deterministic factor model (optional)</t>
  </si>
  <si>
    <t>The four Layer1_* tabs and the EMV &amp; Mode Analysis tab are STANDARD on every register, but Layer 1 ships OFF: Settings!Set_Layer1_Enabled = FALSE, so the blank grids have NIL impact and the register reads exactly as a cost-only project. The grids ship at their real shape, blank: Layer1_Base is 12 placeholder WBS rows x 8 resource columns, in $M; Layer1_Allocation is 25 factor rows x the same WBS columns; Layer1_Correlation is a 25-factor lower triangle. To use Layer 1: (1) on Layer1_Base rename the WBS rows you need and type each row's $M by column, then the Declared_Total. A row with no numbers is ignored, so type 0 for a genuine zero. (2) On Layer1_Allocation rename the same WBS columns to match Layer1_Base EXACTLY - the model matches the two by name and refuses a mismatch; unused placeholder columns can stay. List your factors on Layer1_Factors (pick names from the dropdown) and tick their WBS cells with x. (3) On Layer1_Correlation type the correlated factor names across row 4 and down column A in the same order, and the coefficients in the blue lower triangle; grey cells are never read, and a blank pair means 0. (4) ONLY THEN set Set_Layer1_Enabled = TRUE. Turning Layer 1 on before the grids are filled is refused with a message naming the tab. The EMV &amp; Mode Analysis tab (totals + charts) populates from the register EMV columns whenever the register is filled or a run happens. Leave the flag FALSE to keep Layer 1 off. A project needing more rows regenerates with build_template(n_layer1_wbs_rows=, n_layer1_factors=).</t>
  </si>
  <si>
    <t>Sheet protection (REG04)</t>
  </si>
  <si>
    <t>The machine tabs are protected (no password): input cells are unlocked, the contract cells + formulas are locked, and the workbook structure is locked so tabs cannot be deleted/reordered. This guards against accidental edits - it does NOT stop you deleting a named range, so run Validate Contract after any structural edit. That is a task-pane item, not a button on any sheet, and it exists only after activation - see 'Running a simulation' below. To make deliberate changes, Review &gt; Unprotect Sheet.</t>
  </si>
  <si>
    <t>Running a simulation</t>
  </si>
  <si>
    <t>STEP 1 - ACTIVATION, ONCE PER WORKBOOK, AND IT IS A SPECIALIST'S TASK (R-8). As it ships this workbook holds no code and no buttons: there is nothing to press and nothing is broken. A risk specialist installs the xlwings Lite add-in, adds numpy and scipy to its Environment, generates the model script by running tools/make_qra_xlwings.py in the repository, and pastes the result into the xlwings Lite editor. The Reference (xlwings) tab carries the requirements and a readable copy of the entry points. Until this is done, no simulation can run.</t>
  </si>
  <si>
    <t>STEP 2 - FILL THE REGISTER. Enter one risk per row on Risk Register from row 5. Blue cells are yours; the dropdowns are driven by the Lists tab. You can sort and filter the register with the sheet protected. You cannot INSERT a row: Excel inserts a whole row and the EMV columns are locked calc cells, so a 41st risk means Review &gt; Unprotect Sheet (a specialist's step) or a register regenerated at a higher row count. Set the run controls on Settings (iterations, seed, view). If you are dollarising schedule delay, put the day rate on MC_Params - it is blank as shipped, and every schedule-dollar figure stays zero until it is filled.</t>
  </si>
  <si>
    <t>STEP 3 - RUN, from the xlwings Lite task pane on the right. These are task-pane items, NOT buttons on any sheet: 'Run Simulation' (the interactive count from Settings), 'Run Simulation 100k' (the deliverable count), and 'Validate Contract' (self-checks the named ranges and the version, writing PASS or FAIL). Results land on the Simulation tab, which is amber - written by the model, do not edit.</t>
  </si>
  <si>
    <t>WITHOUT ACTIVATION you can still do real work: fill the register and read the live expected-value totals and charts on Summary and EMV &amp; Mode Analysis. Those are ordinary Excel formulas and need no simulation. What activation adds is the Monte-Carlo run.</t>
  </si>
  <si>
    <t>SPECIALIST TABS. The four Layer1_* tabs are Tier-2: they need an elicited factor model and are optional (see Layer 1 above). Simulation and Out_* are written by the model. A generalist needs none of them.</t>
  </si>
  <si>
    <t>Units, basis and formats - read before filling</t>
  </si>
  <si>
    <t>UNITS. Risk Register costs are dollars ($); time is working days. Probability and Probability (Time) are FRACTIONS between 0 and 1: 0.45 means 45%, and entering 45 makes the risk fire on every iteration, silently. Layer-1 base values and Declared_Total are $M.</t>
  </si>
  <si>
    <t>BASIS. Every figure is contingency at base date, before escalation. Escalation (GN4) is applied downstream to reach an outturn figure, never in this workbook.</t>
  </si>
  <si>
    <t>THREE-POINT INPUTS. Optimistic / Most Likely / Pessimistic are read by the Distribution column. Triangular and PERT treat Optimistic and Pessimistic as absolute bounds. Lognormal treats them as roughly P10 and P90 with a tail beyond Pessimistic, and Most Likely as the median. Binary fires the Most Likely value; Binary/PERT draws a PERT when it fires. The time three-points follow the same rule, in working days.</t>
  </si>
  <si>
    <t>COMPOSITION. Each iteration fires each risk with MC Include = Yes against its Probability and sums the sampled costs - MC Include is the switch, not Risk Status. A Time Impact = Yes risk shares one severity draw between its cost and its delay, so the two move together. When Layer 1 is on, each base cell is multiplied by (1 + factor) for every factor bound to it (rows via Layer1_Allocation, columns via Column_Scope) - the factor three-points are proportional deltas, 0.05 meaning +5% - and the result is added to the event total.</t>
  </si>
  <si>
    <t>RECORDED, NOT READ. Effectiveness_Confidence, Default_Mapping_Confidence and Assignment_Confidence are kept for a reviewer and never used by the engine: any scale, or blank.</t>
  </si>
  <si>
    <t>WHERE THE REST IS. Each fillable sheet carries its notes above its headers and each column's format on its header cell (hover). How to run: 'Running a simulation' above. What the colours mean: the legend above.</t>
  </si>
  <si>
    <t>Project identity</t>
  </si>
  <si>
    <t>Project name</t>
  </si>
  <si>
    <t>Project number</t>
  </si>
  <si>
    <t>Client</t>
  </si>
  <si>
    <t>Prepared by</t>
  </si>
  <si>
    <t>Revision</t>
  </si>
  <si>
    <t>A</t>
  </si>
  <si>
    <t>Issue date</t>
  </si>
  <si>
    <t>Blue cells from row 5 are yours; black cells are labels or live formulas. Hover a column header for its format. Units, basis and the three-point conventions are on TOC &amp; Instructions.</t>
  </si>
  <si>
    <t>Probability is a FRACTION (0.45 = 45%). Costs are dollars, time is working days, both contingency at base date before escalation. Time Impact = Yes rows need a Mode and a Mapping row.</t>
  </si>
  <si>
    <t>Contingent Risk Cost</t>
  </si>
  <si>
    <t>Time (Working Days)</t>
  </si>
  <si>
    <t>Analyst / Derived (deterministic Layer 1)</t>
  </si>
  <si>
    <t>Schedule Binding (P6-ready)</t>
  </si>
  <si>
    <t>Risk ID</t>
  </si>
  <si>
    <t>Risk Status</t>
  </si>
  <si>
    <t>Risk Description</t>
  </si>
  <si>
    <t>Package</t>
  </si>
  <si>
    <t>RBS LVL 1</t>
  </si>
  <si>
    <t>RBS LVL 2</t>
  </si>
  <si>
    <t>MC Include</t>
  </si>
  <si>
    <t>Distribution</t>
  </si>
  <si>
    <t>Correlation Group</t>
  </si>
  <si>
    <t>Recurrence Type</t>
  </si>
  <si>
    <t>Causes</t>
  </si>
  <si>
    <t>Consequences</t>
  </si>
  <si>
    <t>Existing Controls</t>
  </si>
  <si>
    <t>Cost Impact</t>
  </si>
  <si>
    <t>Probability</t>
  </si>
  <si>
    <t>Optimistic ($)</t>
  </si>
  <si>
    <t>Most Likely ($)</t>
  </si>
  <si>
    <t>Pessimistic ($)</t>
  </si>
  <si>
    <t>Basis of Estimate</t>
  </si>
  <si>
    <t>Time Impact</t>
  </si>
  <si>
    <t>Probability (Time)</t>
  </si>
  <si>
    <t>Optimistic (days)</t>
  </si>
  <si>
    <t>Most Likely (days)</t>
  </si>
  <si>
    <t>Pessimistic (days)</t>
  </si>
  <si>
    <t>Mode</t>
  </si>
  <si>
    <t>Impact_Basis</t>
  </si>
  <si>
    <t>EMV_cost ($)</t>
  </si>
  <si>
    <t>EMV_sched_days</t>
  </si>
  <si>
    <t>EMV_sched_dollars ($)</t>
  </si>
  <si>
    <t>Schedule Activity ID (P6)</t>
  </si>
  <si>
    <t>RSK001</t>
  </si>
  <si>
    <t>Open</t>
  </si>
  <si>
    <t>Yes</t>
  </si>
  <si>
    <t>Series</t>
  </si>
  <si>
    <t>RSK002</t>
  </si>
  <si>
    <t>Hybrid</t>
  </si>
  <si>
    <t>RSK003</t>
  </si>
  <si>
    <t>Parallel</t>
  </si>
  <si>
    <t>RSK004</t>
  </si>
  <si>
    <t>RSK005</t>
  </si>
  <si>
    <t>RSK006</t>
  </si>
  <si>
    <t>No</t>
  </si>
  <si>
    <t>Cascade lists - edit here; the Risk Register dropdowns follow.</t>
  </si>
  <si>
    <t>MCInclude</t>
  </si>
  <si>
    <t>TimeImpact</t>
  </si>
  <si>
    <t>Recurrence</t>
  </si>
  <si>
    <t>CGCode</t>
  </si>
  <si>
    <t>RBS_L1</t>
  </si>
  <si>
    <t>RBS_L2</t>
  </si>
  <si>
    <t>Factor</t>
  </si>
  <si>
    <t>PERT</t>
  </si>
  <si>
    <t>Single</t>
  </si>
  <si>
    <t>CG01</t>
  </si>
  <si>
    <t>Technical</t>
  </si>
  <si>
    <t>Design</t>
  </si>
  <si>
    <t>Civil</t>
  </si>
  <si>
    <t>Labour rate</t>
  </si>
  <si>
    <t>Triangular</t>
  </si>
  <si>
    <t>Recurring</t>
  </si>
  <si>
    <t>CG02</t>
  </si>
  <si>
    <t>Commercial</t>
  </si>
  <si>
    <t>Construction</t>
  </si>
  <si>
    <t>Structural</t>
  </si>
  <si>
    <t>Material rate</t>
  </si>
  <si>
    <t>Lognormal</t>
  </si>
  <si>
    <t>None</t>
  </si>
  <si>
    <t>CG03</t>
  </si>
  <si>
    <t>Management</t>
  </si>
  <si>
    <t>Procurement</t>
  </si>
  <si>
    <t>Mechanical</t>
  </si>
  <si>
    <t>Plant rate</t>
  </si>
  <si>
    <t>Binary</t>
  </si>
  <si>
    <t>CG04</t>
  </si>
  <si>
    <t>External</t>
  </si>
  <si>
    <t>Interface</t>
  </si>
  <si>
    <t>Electrical</t>
  </si>
  <si>
    <t>Productivity</t>
  </si>
  <si>
    <t>Binary/PERT</t>
  </si>
  <si>
    <t>CG05</t>
  </si>
  <si>
    <t>Environmental</t>
  </si>
  <si>
    <t>Approvals</t>
  </si>
  <si>
    <t>Piping</t>
  </si>
  <si>
    <t>Quantity growth</t>
  </si>
  <si>
    <t>CG06</t>
  </si>
  <si>
    <t>Delivery</t>
  </si>
  <si>
    <t>Weather</t>
  </si>
  <si>
    <t>Instrumentation</t>
  </si>
  <si>
    <t>FX</t>
  </si>
  <si>
    <t>CG07</t>
  </si>
  <si>
    <t>Ground Conditions</t>
  </si>
  <si>
    <t>Commissioning</t>
  </si>
  <si>
    <t>Escalation</t>
  </si>
  <si>
    <t>CG08</t>
  </si>
  <si>
    <t>CG09</t>
  </si>
  <si>
    <t>CG10</t>
  </si>
  <si>
    <t>CG11</t>
  </si>
  <si>
    <t>CG12</t>
  </si>
  <si>
    <t>CG13</t>
  </si>
  <si>
    <t>P6/CPM binding for schedule (Time=Yes) risks. Blue cells are yours. The header row is the contract and is locked; hover a header for its format. Units and basis: TOC &amp; Instructions.</t>
  </si>
  <si>
    <t>Prefix_List: ONE activity-code prefix, despite the column name — e.g. `20.` to bind every activity whose code starts with 20, or a full code to bind exactly one. A trailing dot is stripped. Blank = the risk binds nothing and contributes no delay.</t>
  </si>
  <si>
    <t>Injection_Method: How the sampled delay is applied to the bound activities. One of: additive_pert_days, discrete_event_additive_days, productivity_multiplicative_factor. Blank = use the register default, Methodology!Default_Injection_Method.</t>
  </si>
  <si>
    <t>Gating_Activity_ID: The single activity this risk gates, as it appears in the schedule. An ID that names no activity is SKIPPED, not guessed — the risk then falls back to the programme profile with nothing on screen saying so.</t>
  </si>
  <si>
    <t>Pattern_ID</t>
  </si>
  <si>
    <t>Prefix_List</t>
  </si>
  <si>
    <t>Activity_Count</t>
  </si>
  <si>
    <t>Gating_Activity_ID</t>
  </si>
  <si>
    <t>Injection_Method</t>
  </si>
  <si>
    <t>Schedule risk-to-activity patterns - workshop input, you fill this. Blue cells are yours. The header row is the contract and is locked; hover a header for its format. Units and basis: TOC &amp; Instructions.</t>
  </si>
  <si>
    <t>Default_Mapping_Confidence: Free text — any scale you like, or leave it blank. Nothing in the engine reads it; it is provenance for whoever reviews the mapping. Blank = nothing; the engine does not read this column.</t>
  </si>
  <si>
    <t>Description</t>
  </si>
  <si>
    <t>Is_Cost_Only</t>
  </si>
  <si>
    <t>Default_Mapping_Confidence</t>
  </si>
  <si>
    <t>Reconciliation_Treatment</t>
  </si>
  <si>
    <t>Example_Risk_IDs</t>
  </si>
  <si>
    <t>Notes</t>
  </si>
  <si>
    <t>Per-risk pattern assignment - workshop input, you fill this. Blue cells are yours. The header row is the contract and is locked; hover a header for its format. Units and basis: TOC &amp; Instructions.</t>
  </si>
  <si>
    <t>Assignment_Confidence: Free text, as for Default_Mapping_Confidence. Read into the frame and never used in a calculation. Blank = nothing; the engine does not read this column.</t>
  </si>
  <si>
    <t>Risk_ID</t>
  </si>
  <si>
    <t>Assignment_Confidence</t>
  </si>
  <si>
    <t>Per-risk treatments + effectiveness - workshop input, you fill this. Blue cells are yours. The header row is the contract and is locked; hover a header for its format. Units and basis: TOC &amp; Instructions.</t>
  </si>
  <si>
    <t>Effectiveness_Pct: A PERCENTAGE: enter 30 for 30%. The engine also accepts a 0-1 fraction and splits the two at 1.0 — so 1.0 is read as 1%, NOT as fully effective. Enter 100 for a fully effective treatment.</t>
  </si>
  <si>
    <t>Effectiveness_Confidence: Free text. Record how firm the effectiveness estimate is, in your own words.</t>
  </si>
  <si>
    <t>Treatment_Description</t>
  </si>
  <si>
    <t>Effectiveness_Pct</t>
  </si>
  <si>
    <t>Effectiveness_Confidence</t>
  </si>
  <si>
    <t>Total EMV days (PERT)</t>
  </si>
  <si>
    <t>CALCULATED - live formulas over the Risk Register (the SRA calibration comparators). Do not type; edit the register.</t>
  </si>
  <si>
    <t>Total EMV $ cost-of-delay (PERT)</t>
  </si>
  <si>
    <t>Aggregate finish-date slippage days (PERT)</t>
  </si>
  <si>
    <t>Aggregate finish-date slippage $ (PERT)</t>
  </si>
  <si>
    <t>Iterations (n)</t>
  </si>
  <si>
    <t>Random seed (0=random)</t>
  </si>
  <si>
    <t>Stakeholder view</t>
  </si>
  <si>
    <t>Reporting P-Level (pct)</t>
  </si>
  <si>
    <t>TIC - Total Installed Cost ($)</t>
  </si>
  <si>
    <t>Cascade enabled</t>
  </si>
  <si>
    <t>Cascade slip rate</t>
  </si>
  <si>
    <t>Cascade slip cap</t>
  </si>
  <si>
    <t>Cascade cost scale</t>
  </si>
  <si>
    <t>day_rate ($/wd)</t>
  </si>
  <si>
    <t>programme_seasons</t>
  </si>
  <si>
    <t>cp_hybrid_float_threshold_days</t>
  </si>
  <si>
    <t>schedule duration (weeks)</t>
  </si>
  <si>
    <t>expected_time_yes_count</t>
  </si>
  <si>
    <t>EMV &amp; Mode Analysis - this project</t>
  </si>
  <si>
    <t>Deterministic Layer-1 expected values (means) from the register EMV columns, NOT Monte-Carlo P-levels. Live formulas; refresh on open.</t>
  </si>
  <si>
    <t>DERIVED - populated from the register's EMV columns whenever it is filled or a run happens. Do not type.</t>
  </si>
  <si>
    <t>Layer-1 totals</t>
  </si>
  <si>
    <t>Total cost EMV ($)</t>
  </si>
  <si>
    <t>Total schedule EMV ($)</t>
  </si>
  <si>
    <t>Total Layer-1 EMV ($)</t>
  </si>
  <si>
    <t>Risks: Series / Hybrid / Parallel</t>
  </si>
  <si>
    <t>Risk</t>
  </si>
  <si>
    <t>Cost EMV ($)</t>
  </si>
  <si>
    <t>Schedule EMV ($)</t>
  </si>
  <si>
    <t>Layer</t>
  </si>
  <si>
    <t>EMV ($)</t>
  </si>
  <si>
    <t>Cost</t>
  </si>
  <si>
    <t>Schedule</t>
  </si>
  <si>
    <t>WBS Row</t>
  </si>
  <si>
    <t>Staff</t>
  </si>
  <si>
    <t>Labour</t>
  </si>
  <si>
    <t>Plant</t>
  </si>
  <si>
    <t>Concrete</t>
  </si>
  <si>
    <t>Steel</t>
  </si>
  <si>
    <t>General</t>
  </si>
  <si>
    <t>Subcontract</t>
  </si>
  <si>
    <t>Provisional</t>
  </si>
  <si>
    <t>WBS-01</t>
  </si>
  <si>
    <t>WBS-02</t>
  </si>
  <si>
    <t>WBS-03</t>
  </si>
  <si>
    <t>WBS-04</t>
  </si>
  <si>
    <t>WBS-05</t>
  </si>
  <si>
    <t>WBS-06</t>
  </si>
  <si>
    <t>WBS-07</t>
  </si>
  <si>
    <t>WBS-08</t>
  </si>
  <si>
    <t>WBS-09</t>
  </si>
  <si>
    <t>WBS-10</t>
  </si>
  <si>
    <t>WBS-11</t>
  </si>
  <si>
    <t>WBS-12</t>
  </si>
  <si>
    <t>Declared_Total ($M)</t>
  </si>
  <si>
    <t>Units</t>
  </si>
  <si>
    <t>$M (read x 1,000,000 -&gt; dollars)</t>
  </si>
  <si>
    <t>Driver</t>
  </si>
  <si>
    <t>Opt_P10</t>
  </si>
  <si>
    <t>ML_mode</t>
  </si>
  <si>
    <t>P90</t>
  </si>
  <si>
    <t>Column_Scope</t>
  </si>
  <si>
    <t>Corr_Mode</t>
  </si>
  <si>
    <t>elicited</t>
  </si>
  <si>
    <t>(zero | elicited | one)</t>
  </si>
  <si>
    <t>PSD_Status</t>
  </si>
  <si>
    <t>valid</t>
  </si>
  <si>
    <t>(reader recomputes via Corr_flag)</t>
  </si>
  <si>
    <t>CG code / Mode</t>
  </si>
  <si>
    <t>Coefficient / Multiplier</t>
  </si>
  <si>
    <t>Cost_Calibration_Tolerance_Dollars</t>
  </si>
  <si>
    <t>Cost cross-check: absolute tolerance ($)</t>
  </si>
  <si>
    <t>Cost_Calibration_Tolerance_Pct</t>
  </si>
  <si>
    <t>Cost cross-check: relative tolerance (fraction)</t>
  </si>
  <si>
    <t>Schedule_Calibration_Tolerance_Days</t>
  </si>
  <si>
    <t>Schedule cross-check: absolute tolerance (days)</t>
  </si>
  <si>
    <t>Schedule_Calibration_Tolerance_Pct</t>
  </si>
  <si>
    <t>Schedule cross-check: relative tolerance (fraction)</t>
  </si>
  <si>
    <t>Schedule_Top3_Tie_Tolerance_Pct</t>
  </si>
  <si>
    <t>Schedule top-3 cross-check: two contributors the arms rank apart are one tie when within this fraction of each other in BOTH arms</t>
  </si>
  <si>
    <t>Default_Injection_Method</t>
  </si>
  <si>
    <t>discrete_event_additive_days</t>
  </si>
  <si>
    <t>Dual-coded risks with no Injection_Method on the Mapping sheet take this</t>
  </si>
  <si>
    <t>Iterations (interactive default)</t>
  </si>
  <si>
    <t>Random seed</t>
  </si>
  <si>
    <t>View (owner | shared-pool)</t>
  </si>
  <si>
    <t>owner</t>
  </si>
  <si>
    <t>Risk-ID prefix</t>
  </si>
  <si>
    <t>RSK</t>
  </si>
  <si>
    <t>Iterations (100k on-demand button)</t>
  </si>
  <si>
    <t>Contract version</t>
  </si>
  <si>
    <t>1.4</t>
  </si>
  <si>
    <t>Pyodide runtime pin</t>
  </si>
  <si>
    <t>314.0.1</t>
  </si>
  <si>
    <t>Layer 1 enabled (TRUE/FALSE)</t>
  </si>
  <si>
    <t>P-level</t>
  </si>
  <si>
    <t>Cost ($)</t>
  </si>
  <si>
    <t>Cum. prob</t>
  </si>
  <si>
    <t>Corr_flag</t>
  </si>
  <si>
    <t>rho=0</t>
  </si>
  <si>
    <t>rho=1</t>
  </si>
  <si>
    <t>Contract validation</t>
  </si>
  <si>
    <t>P80 CI half-width (25k)</t>
  </si>
  <si>
    <t>P80 CI half-width (%)</t>
  </si>
  <si>
    <t>Amber cells are written by the model (xlwings) - do not edit.</t>
  </si>
  <si>
    <t>MODEL-WRITTEN - do not type on this sheet. Every cell here is overwritten on each run.</t>
  </si>
  <si>
    <t>xlwings Lite - requirements &amp; code (paste-once)</t>
  </si>
  <si>
    <t>REFERENCE - the paste-once script and its requirements. Nothing to fill.</t>
  </si>
  <si>
    <t>Requirements (xlwings Lite -&gt; Environment)</t>
  </si>
  <si>
    <t>numpy</t>
  </si>
  <si>
    <t>scipy</t>
  </si>
  <si>
    <t>Pyodide runtime: 314.0.1  (ratified Q4; do not float)</t>
  </si>
  <si>
    <t>How to load the model code</t>
  </si>
  <si>
    <t>Generate the pasteable script with  python tools/make_qra_xlwings.py  -&gt;  dist/qra_xlwings_combined.py, then paste it into the xlwings Lite editor. That generated file is the source of truth (byte-parity gated to the repo engine); do not hand-edit. The text below is a human-readable convenience copy of the @script entry points only.</t>
  </si>
  <si>
    <t>Buttons (xlwings Lite task pane - one per @script)</t>
  </si>
  <si>
    <t>Run Simulation</t>
  </si>
  <si>
    <t>cost-QRA at the interactive count (Settings B1 / Set_iterations, default 25,000).</t>
  </si>
  <si>
    <t>Run Simulation 100k</t>
  </si>
  <si>
    <t>cost-QRA at the on-demand 100,000 count (Settings B5 / Set_iterations_max) - the deliverable run.</t>
  </si>
  <si>
    <t>Validate Contract</t>
  </si>
  <si>
    <t>self-check the named-range contract + version + methodology; writes PASS/FAIL to Out_validation.</t>
  </si>
  <si>
    <t>src/tier1_xlwings_shell.py (@script source - convenience copy)</t>
  </si>
  <si>
    <t>"""QRAXL-01 Tier-1 xlwings Lite shell (front-end I/O layer).</t>
  </si>
  <si>
    <t>The @script entry point the xlwings Lite runtime calls with the open workbook.</t>
  </si>
  <si>
    <t>It reads the contract-v2 register via xlwings ranges, feeds the cell GRIDS to the</t>
  </si>
  <si>
    <t>SHARED parser (``qra_register_parse`` - the same one Tier 2 uses, so Tier-1 ==</t>
  </si>
  <si>
    <t>Tier-2 on the read side by construction), then runs ``qra_core`` and writes the</t>
  </si>
  <si>
    <t>P-curve back.</t>
  </si>
  <si>
    <t>The @script is a THIN I/O wrapper over the headless-testable</t>
  </si>
  <si>
    <t>``tier1_headless.run_headless`` (read ranges -&gt; call the headless run -&gt; write</t>
  </si>
  <si>
    <t>ranges), mirroring RF-01 (rf_headless.py is the runner, shell_xlwings.py the</t>
  </si>
  <si>
    <t>I/O). CI covers the compute + formatting; only the literal xlwings range read/</t>
  </si>
  <si>
    <t>write is Excel-only. ``qra_core``, the parser and the resolver stay Pyodide-</t>
  </si>
  <si>
    <t>clean; only THIS shell imports xlwings.</t>
  </si>
  <si>
    <t>"""</t>
  </si>
  <si>
    <t>from __future__ import annotations</t>
  </si>
  <si>
    <t>import xlwings as xw</t>
  </si>
  <si>
    <t>from xlwings import script</t>
  </si>
  <si>
    <t>from src.qra_register_parse import RISK_REGISTER_SHEET, _LAYER1_SHEETS</t>
  </si>
  <si>
    <t>from src.register_contract import (</t>
  </si>
  <si>
    <t xml:space="preserve">    LAYER1_ENABLED_NAME, check_contract, layer1_enabled_flag,</t>
  </si>
  <si>
    <t>)</t>
  </si>
  <si>
    <t>from src.tier1_headless import METHODOLOGY_SHEET_TITLE, run_headless</t>
  </si>
  <si>
    <t># ---------------------------------------------------------------------------</t>
  </si>
  <si>
    <t># xlwings Lite COMPATIBILITY (this class of defect cannot be caught headless)</t>
  </si>
  <si>
    <t># xlwings Lite's Office.js backend does NOT implement several classic xlwings</t>
  </si>
  <si>
    <t># Sheet APIs. The Tier-1 shell MUST NOT use any of these (they raise a</t>
  </si>
  <si>
    <t># base-class NotImplementedError only at runtime in Excel - the headless gates</t>
  </si>
  <si>
    <t># read via openpyxl and never exercise them):</t>
  </si>
  <si>
    <t>#</t>
  </si>
  <si>
    <t>#   FORBIDDEN in Lite:  sheet.used_range   (xlwings-lite discussion #19)</t>
  </si>
  <si>
    <t>#                       sheet.copy()</t>
  </si>
  <si>
    <t>#                       sheet.api / Office.js getUsedRange (`.api` unsupported)</t>
  </si>
  <si>
    <t># SUPPORTED reads/writes used here: named ranges via book.names[nm].</t>
  </si>
  <si>
    <t># refers_to_range (Set_*, Out_*, Grid_RiskRegister, Grid_Methodology), and a FIXED</t>
  </si>
  <si>
    <t># A1-anchored address read via book.sheets[name].range("A1:..") (Office.js getRange -</t>
  </si>
  <si>
    <t># NOT getUsedRange). The grids are anchored at $A$1 (the parser uses ABSOLUTE Excel</t>
  </si>
  <si>
    <t># row indices, so the grid must be row-1-aligned).</t>
  </si>
  <si>
    <t># REG05-A2-FIX (D1): the Layer-1 sheets are read via their whole USED RANGE (a</t>
  </si>
  <si>
    <t># generous fixed A1 block, see _sheet_grid), NOT the fixed Grid_Layer1_* names. The</t>
  </si>
  <si>
    <t># Grid_Layer1_* names are sized to the empty template's header-only shell and do NOT</t>
  </si>
  <si>
    <t># grow when the user fills the sheets, so a name-read saw only the shell (base sum</t>
  </si>
  <si>
    <t># 3.9M != declared 50M, 0 factors, empty allocation). The used-range read grows with</t>
  </si>
  <si>
    <t># the fill and matches tier1_headless.extract_grids_openpyxl. The Grid_Layer1_* names</t>
  </si>
  <si>
    <t># stay EMITTED (contract v1.4 / Validate) - a contract surface, just not the read</t>
  </si>
  <si>
    <t># source. Not .expand() (truncates at the V5 layout's interior blank rows) and not</t>
  </si>
  <si>
    <t># .used_range/.api (Lite-forbidden); the parser trims trailing blanks, so an</t>
  </si>
  <si>
    <t># over-extended fixed block is harmless.</t>
  </si>
  <si>
    <t>_GRID_NAMES: dict[str, str] = {</t>
  </si>
  <si>
    <t xml:space="preserve">    RISK_REGISTER_SHEET: "Grid_RiskRegister",</t>
  </si>
  <si>
    <t xml:space="preserve">    METHODOLOGY_SHEET_TITLE: "Grid_Methodology",</t>
  </si>
  <si>
    <t>}</t>
  </si>
  <si>
    <t># Fixed A1-anchored block for the Layer-1 used-range read (rows x cols). Must</t>
  </si>
  <si>
    <t># comfortably exceed any realistic Layer-1 extent (cost columns, WBS rows, factors -</t>
  </si>
  <si>
    <t># a compact factor model, never a large table); the parser trims trailing blanks.</t>
  </si>
  <si>
    <t># Parked robust option (brief §2.1): dynamic OFFSET Grid_Layer1_* names.</t>
  </si>
  <si>
    <t>_LAYER1_READ_RANGE = "A1:AX200"  # AX = col 50; 200 rows</t>
  </si>
  <si>
    <t>def _range_grid(book, range_name: str):</t>
  </si>
  <si>
    <t xml:space="preserve">    """Read a named range's values as a 2D grid (list of row-lists). Returns []</t>
  </si>
  <si>
    <t xml:space="preserve">    if the named range is absent. Lite-safe (named-range read only)."""</t>
  </si>
  <si>
    <t xml:space="preserve">    try:</t>
  </si>
  <si>
    <t xml:space="preserve">        rng = book.names[range_name].refers_to_range</t>
  </si>
  <si>
    <t xml:space="preserve">    except (KeyError, Exception):  # noqa: BLE001 - Lite raises varied types on a missing name</t>
  </si>
  <si>
    <t xml:space="preserve">        return []</t>
  </si>
  <si>
    <t xml:space="preserve">    v = rng.value</t>
  </si>
  <si>
    <t xml:space="preserve">    if v is None:</t>
  </si>
  <si>
    <t xml:space="preserve">    if not isinstance(v, list):</t>
  </si>
  <si>
    <t xml:space="preserve">        return [[v]]  # single cell</t>
  </si>
  <si>
    <t xml:space="preserve">    if v and not isinstance(v[0], list):</t>
  </si>
  <si>
    <t xml:space="preserve">        v = [v]  # xlwings collapses a single row to 1D; re-wrap to 2D</t>
  </si>
  <si>
    <t xml:space="preserve">    return v</t>
  </si>
  <si>
    <t>def _sheet_grid(book, sheet_name: str):</t>
  </si>
  <si>
    <t xml:space="preserve">    """Read a whole Layer-1 sheet as a 2D grid over a generous FIXED A1-anchored</t>
  </si>
  <si>
    <t xml:space="preserve">    block (:data:`_LAYER1_READ_RANGE`). Lite-safe: an explicit address via</t>
  </si>
  <si>
    <t xml:space="preserve">    ``book.sheets[name].range(addr)`` (Office.js getRange), never the Lite-forbidden</t>
  </si>
  <si>
    <t xml:space="preserve">    whole-sheet readers listed in this module's header. Grows with the user's fill</t>
  </si>
  <si>
    <t xml:space="preserve">    where the fixed ``Grid_Layer1_*`` name would not (REG05-A2-FIX D1); the parser</t>
  </si>
  <si>
    <t xml:space="preserve">    trims trailing blanks, so over-covering is harmless. ``[]`` if the sheet absent."""</t>
  </si>
  <si>
    <t xml:space="preserve">        sht = book.sheets[sheet_name]</t>
  </si>
  <si>
    <t xml:space="preserve">    except (KeyError, Exception):  # noqa: BLE001 - Lite raises varied types when absent</t>
  </si>
  <si>
    <t xml:space="preserve">        v = sht.range(_LAYER1_READ_RANGE).value</t>
  </si>
  <si>
    <t xml:space="preserve">    except Exception:  # noqa: BLE001 - a missing/empty sheet range reads as nothing</t>
  </si>
  <si>
    <t xml:space="preserve">        v = [[v]]                       # single cell</t>
  </si>
  <si>
    <t xml:space="preserve">    elif v and not isinstance(v[0], list):</t>
  </si>
  <si>
    <t xml:space="preserve">        v = [v]                         # xlwings collapses a single row to 1D</t>
  </si>
  <si>
    <t xml:space="preserve">    # trim trailing all-blank rows so the grid matches the openpyxl used range.</t>
  </si>
  <si>
    <t xml:space="preserve">    while v and all(c is None for c in v[-1]):</t>
  </si>
  <si>
    <t xml:space="preserve">        v.pop()</t>
  </si>
  <si>
    <t>def read_grids_xlwings(book) -&gt; dict:</t>
  </si>
  <si>
    <t xml:space="preserve">    """Tier-1 grid extraction (the Lite-safe analogue of</t>
  </si>
  <si>
    <t xml:space="preserve">    ``tier1_headless.extract_grids_openpyxl``). Risk register + methodology via their</t>
  </si>
  <si>
    <t xml:space="preserve">    ``Grid_*`` named ranges (sized to extent at build); the Layer-1 sheets via their</t>
  </si>
  <si>
    <t xml:space="preserve">    whole USED RANGE (:func:`_sheet_grid`, REG05-A2-FIX D1). Same grids, same parser.</t>
  </si>
  <si>
    <t xml:space="preserve">    A client register with no Layer-1 sheets -&gt; ``layer1={}`` -&gt; Layer 1 OFF, as Tier 2.</t>
  </si>
  <si>
    <t xml:space="preserve">    REG05-A2 §3.2: read ``Set_Layer1_Enabled`` and thread it in as</t>
  </si>
  <si>
    <t xml:space="preserve">    ``layer1_enabled``; when not TRUE, pass ``layer1={}`` so the shared parse gate</t>
  </si>
  <si>
    <t xml:space="preserve">    returns None (an empty, present-but-disabled Layer-1 is a read no-op)."""</t>
  </si>
  <si>
    <t xml:space="preserve">    enabled = layer1_enabled_flag(_named_value(book, LAYER1_ENABLED_NAME))</t>
  </si>
  <si>
    <t xml:space="preserve">    layer1 = (</t>
  </si>
  <si>
    <t xml:space="preserve">        {</t>
  </si>
  <si>
    <t xml:space="preserve">            sheet: _sheet_grid(book, sheet)</t>
  </si>
  <si>
    <t xml:space="preserve">            for sheet in _LAYER1_SHEETS</t>
  </si>
  <si>
    <t xml:space="preserve">            if _sheet_grid(book, sheet)</t>
  </si>
  <si>
    <t xml:space="preserve">        }</t>
  </si>
  <si>
    <t xml:space="preserve">        if enabled else {}</t>
  </si>
  <si>
    <t xml:space="preserve">    )</t>
  </si>
  <si>
    <t xml:space="preserve">    return {</t>
  </si>
  <si>
    <t xml:space="preserve">        "risk_register": _range_grid(book, _GRID_NAMES[RISK_REGISTER_SHEET]),</t>
  </si>
  <si>
    <t xml:space="preserve">        "layer1": layer1,</t>
  </si>
  <si>
    <t xml:space="preserve">        "layer1_enabled": enabled,</t>
  </si>
  <si>
    <t xml:space="preserve">        # GD-B: the register's own methodology surface (CG coeffs + mode</t>
  </si>
  <si>
    <t xml:space="preserve">        # multipliers). Absent -&gt; [] -&gt; the resolver fails loud (no fallback).</t>
  </si>
  <si>
    <t xml:space="preserve">        "methodology": _range_grid(book, _GRID_NAMES[METHODOLOGY_SHEET_TITLE]),</t>
  </si>
  <si>
    <t xml:space="preserve">    }</t>
  </si>
  <si>
    <t>def _named_value(book, name):</t>
  </si>
  <si>
    <t xml:space="preserve">    """Read a named-range scalar value (Lite-safe). Returns None if absent."""</t>
  </si>
  <si>
    <t xml:space="preserve">        return book.names[name].refers_to_range.value</t>
  </si>
  <si>
    <t xml:space="preserve">    except Exception:  # noqa: BLE001 - Lite raises varied types on a missing name</t>
  </si>
  <si>
    <t xml:space="preserve">        return None</t>
  </si>
  <si>
    <t>def _pad(rows2d: list, nrows: int, ncols: int) -&gt; list:</t>
  </si>
  <si>
    <t xml:space="preserve">    """Truncate/pad a 2D list to (nrows, ncols) with None so the write matches</t>
  </si>
  <si>
    <t xml:space="preserve">    the fixed named-range shape (RF-01 pattern)."""</t>
  </si>
  <si>
    <t xml:space="preserve">    out = []</t>
  </si>
  <si>
    <t xml:space="preserve">    for i in range(nrows):</t>
  </si>
  <si>
    <t xml:space="preserve">        row = list(rows2d[i]) if i &lt; len(rows2d) else []</t>
  </si>
  <si>
    <t xml:space="preserve">        out.append([(row[j] if j &lt; len(row) else None) for j in range(ncols)])</t>
  </si>
  <si>
    <t xml:space="preserve">    return out</t>
  </si>
  <si>
    <t>def _run_and_write(book, iterations_name: str, default_iter: int):</t>
  </si>
  <si>
    <t xml:space="preserve">    """Shared run path for the run buttons: read Set_* ranges -&gt; run_headless -&gt;</t>
  </si>
  <si>
    <t xml:space="preserve">    write Out_* ranges. ``iterations_name`` selects which Settings cell drives the</t>
  </si>
  <si>
    <t xml:space="preserve">    iteration count (Set_iterations = interactive default; Set_iterations_max =</t>
  </si>
  <si>
    <t xml:space="preserve">    the 100k button). Named-range reads/writes only (Lite-safe)."""</t>
  </si>
  <si>
    <t xml:space="preserve">    grids = read_grids_xlwings(book)</t>
  </si>
  <si>
    <t xml:space="preserve">    def R(nm):</t>
  </si>
  <si>
    <t xml:space="preserve">        return book.names[nm].refers_to_range</t>
  </si>
  <si>
    <t xml:space="preserve">    def _named(nm, default):</t>
  </si>
  <si>
    <t xml:space="preserve">        try:</t>
  </si>
  <si>
    <t xml:space="preserve">            return R(nm).value</t>
  </si>
  <si>
    <t xml:space="preserve">        except Exception:</t>
  </si>
  <si>
    <t xml:space="preserve">            return default</t>
  </si>
  <si>
    <t xml:space="preserve">    n_iter = int(_named(iterations_name, default_iter) or default_iter)</t>
  </si>
  <si>
    <t xml:space="preserve">    seed = int(_named("Set_seed", 42) or 42)</t>
  </si>
  <si>
    <t xml:space="preserve">    view = str(_named("Set_view", "owner") or "owner").strip().lower()</t>
  </si>
  <si>
    <t xml:space="preserve">    # GENERIC-01: no fallback. `Set_risk_prefix` is contract-required, and defaulting it to the</t>
  </si>
  <si>
    <t xml:space="preserve">    # wind project's "WT" meant a register that omitted it had every risk row read against another</t>
  </si>
  <si>
    <t xml:space="preserve">    # project's prefix, matched none, and returned an EMPTY result rather than an error - a wrong</t>
  </si>
  <si>
    <t xml:space="preserve">    # answer where the missing range should have been a refusal.</t>
  </si>
  <si>
    <t xml:space="preserve">    prefix = str(_named("Set_risk_prefix", "") or "").strip()</t>
  </si>
  <si>
    <t xml:space="preserve">    if not prefix:</t>
  </si>
  <si>
    <t xml:space="preserve">        raise ValueError(</t>
  </si>
  <si>
    <t xml:space="preserve">            "Set_risk_prefix is missing or empty. It is required by the register contract and "</t>
  </si>
  <si>
    <t xml:space="preserve">            "there is no default: a prefix borrowed from another project would match no risk "</t>
  </si>
  <si>
    <t xml:space="preserve">            "rows and report an empty register as though it were a result.")</t>
  </si>
  <si>
    <t xml:space="preserve">    # The ENTIRE compute + formatting is the headless core (CI-covered). This</t>
  </si>
  <si>
    <t xml:space="preserve">    # wrapper only reads the ranges above and writes the ranges below.</t>
  </si>
  <si>
    <t xml:space="preserve">    out = run_headless(grids, risk_id_prefix=prefix, n_iter=n_iter, seed=seed, view=view)</t>
  </si>
  <si>
    <t xml:space="preserve">    R("Out_ptable").value = _pad(out["p_table"], 19, 2)</t>
  </si>
  <si>
    <t xml:space="preserve">    R("Out_scurve").value = _pad(</t>
  </si>
  <si>
    <t xml:space="preserve">        list(zip(out["s_curve"]["prob"], out["s_curve"]["value"])), 101, 2</t>
  </si>
  <si>
    <t xml:space="preserve">    R("Corr_flag").value = out["corr_flag"]</t>
  </si>
  <si>
    <t xml:space="preserve">    conv = out["convergence_note"]</t>
  </si>
  <si>
    <t xml:space="preserve">    R("Out_conv_halfwidth").value = round(conv["p80_ci95_half_width"], 2)</t>
  </si>
  <si>
    <t xml:space="preserve">    R("Out_conv_pct").value = round(conv["p80_ci95_half_width_pct"], 4)</t>
  </si>
  <si>
    <t xml:space="preserve">    if out["triple"]:</t>
  </si>
  <si>
    <t xml:space="preserve">        modes = ("zero", "elicited", "one")</t>
  </si>
  <si>
    <t xml:space="preserve">        triple_rows = [</t>
  </si>
  <si>
    <t xml:space="preserve">            [out["triple"]["elicited"][i][0]] + [out["triple"][m][i][1] for m in modes]</t>
  </si>
  <si>
    <t xml:space="preserve">            for i in range(len(out["triple"]["elicited"]))</t>
  </si>
  <si>
    <t xml:space="preserve">        ]</t>
  </si>
  <si>
    <t xml:space="preserve">        R("Out_triple").value = _pad(triple_rows, 19, 4)</t>
  </si>
  <si>
    <t>@script</t>
  </si>
  <si>
    <t>def run_simulation(book: xw.Book):  # pragma: no cover - exercised in Excel (6b load test)</t>
  </si>
  <si>
    <t xml:space="preserve">    """BUTTON: run the cost-QRA at the interactive iteration count (Settings B1 /</t>
  </si>
  <si>
    <t xml:space="preserve">    Set_iterations, default 25k) and write the P-curve/S-curve/convergence back."""</t>
  </si>
  <si>
    <t xml:space="preserve">    _run_and_write(book, "Set_iterations", 25_000)</t>
  </si>
  <si>
    <t>def run_simulation_100k(book: xw.Book):  # pragma: no cover - exercised in Excel</t>
  </si>
  <si>
    <t xml:space="preserve">    """BUTTON: run the cost-QRA at the on-demand 100k count (Settings B5 /</t>
  </si>
  <si>
    <t xml:space="preserve">    Set_iterations_max, default 100k) - the high-resolution run for the deliverable.</t>
  </si>
  <si>
    <t xml:space="preserve">    Same write-back as run_simulation; only the iteration count differs."""</t>
  </si>
  <si>
    <t xml:space="preserve">    _run_and_write(book, "Set_iterations_max", 100_000)</t>
  </si>
  <si>
    <t>def validate_contract(book: xw.Book):  # pragma: no cover - exercised in Excel</t>
  </si>
  <si>
    <t xml:space="preserve">    """REG03 S2 rider (1): a contract self-check for a scaffold-once handover.</t>
  </si>
  <si>
    <t xml:space="preserve">    After a user hand-edits the scaffolded register, this verifies the</t>
  </si>
  <si>
    <t xml:space="preserve">    Grid_*/Set_*/Out_* named ranges are all present, Set_ContractVersion matches,</t>
  </si>
  <si>
    <t xml:space="preserve">    and Grid_Methodology carries its 13 CG + 3 mode rows - writing PASS/FAIL + a</t>
  </si>
  <si>
    <t xml:space="preserve">    human-readable message to the Out_validation range. A thin I/O wrapper over the</t>
  </si>
  <si>
    <t xml:space="preserve">    headless ``check_contract`` (CI-covered); it reads via named ranges only, so it</t>
  </si>
  <si>
    <t xml:space="preserve">    obeys the Lite forbidden-API list documented in this module's header."""</t>
  </si>
  <si>
    <t xml:space="preserve">        present = [nm.name for nm in book.names]</t>
  </si>
  <si>
    <t xml:space="preserve">    except Exception:</t>
  </si>
  <si>
    <t xml:space="preserve">        present = []</t>
  </si>
  <si>
    <t xml:space="preserve">    def _named(nm, default=None):</t>
  </si>
  <si>
    <t xml:space="preserve">            return book.names[nm].refers_to_range.value</t>
  </si>
  <si>
    <t xml:space="preserve">    ok, message = check_contract(present, grids["methodology"],</t>
  </si>
  <si>
    <t xml:space="preserve">                                 _named("Set_ContractVersion"))</t>
  </si>
  <si>
    <t xml:space="preserve">    book.names["Out_validation"].refers_to_range.value = [</t>
  </si>
  <si>
    <t xml:space="preserve">        ["PASS" if ok else "FAIL"], [message]]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</si>
</sst>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i/>
      <sz val="9"/>
      <name val="Calibri"/>
    </font>
    <font>
      <b/>
      <sz val="9"/>
      <name val="Calibri"/>
    </font>
    <font>
      <sz val="11"/>
      <color rgb="FF0000CC"/>
      <name val="Calibri"/>
    </font>
    <font>
      <b/>
      <sz val="13"/>
      <color rgb="FF231EDC"/>
      <name val="Calibri"/>
    </font>
    <font>
      <i/>
      <sz val="8"/>
      <color rgb="FF666666"/>
      <name val="Calibri"/>
    </font>
    <font>
      <b/>
      <sz val="10"/>
      <name val="Calibri"/>
    </font>
    <font>
      <b/>
      <sz val="14"/>
      <color rgb="FF231EDC"/>
      <name val="Calibri"/>
    </font>
    <font>
      <i/>
      <sz val="9"/>
      <color rgb="FF666666"/>
      <name val="Calibri"/>
    </font>
    <font>
      <b/>
      <sz val="11"/>
      <name val="Calibri"/>
    </font>
    <font>
      <sz val="11"/>
      <color rgb="FF000000"/>
      <name val="Calibri"/>
    </font>
    <font>
      <sz val="9"/>
      <name val="Consolas"/>
    </font>
    <font>
      <b/>
      <sz val="9"/>
      <name val="Consolas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31EDC"/>
      </patternFill>
    </fill>
    <fill>
      <patternFill patternType="solid">
        <fgColor rgb="FFDCE9FF"/>
      </patternFill>
    </fill>
    <fill>
      <patternFill patternType="solid">
        <fgColor rgb="FFE4F6FF"/>
      </patternFill>
    </fill>
    <fill>
      <patternFill patternType="solid">
        <fgColor rgb="FFEAF7EC"/>
      </patternFill>
    </fill>
    <fill>
      <patternFill patternType="solid">
        <fgColor rgb="FFFDEBD0"/>
      </patternFill>
    </fill>
    <fill>
      <patternFill patternType="solid">
        <fgColor rgb="FFD9D9D9"/>
      </patternFill>
    </fill>
    <fill>
      <patternFill patternType="solid">
        <fgColor rgb="FFFCE4B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231EDC"/>
      </left>
      <right style="thin">
        <color rgb="FF231EDC"/>
      </right>
      <top style="thin">
        <color rgb="FF231EDC"/>
      </top>
      <bottom style="thin">
        <color rgb="FF231ED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4" fillId="0" borderId="0" xfId="0" applyFont="1"/>
    <xf numFmtId="0" fontId="0" fillId="8" borderId="0" xfId="0" applyFill="1"/>
    <xf numFmtId="0" fontId="0" fillId="0" borderId="1" xfId="0" applyBorder="1"/>
    <xf numFmtId="0" fontId="4" fillId="0" borderId="1" xfId="0" applyFont="1" applyBorder="1" applyProtection="1">
      <protection locked="0"/>
    </xf>
    <xf numFmtId="0" fontId="9" fillId="0" borderId="1" xfId="0" applyFont="1" applyBorder="1"/>
    <xf numFmtId="0" fontId="2" fillId="3" borderId="1" xfId="0" applyFont="1" applyFill="1" applyBorder="1" applyAlignment="1">
      <alignment horizontal="centerContinuous"/>
    </xf>
    <xf numFmtId="0" fontId="2" fillId="4" borderId="1" xfId="0" applyFont="1" applyFill="1" applyBorder="1" applyAlignment="1">
      <alignment horizontal="centerContinuous"/>
    </xf>
    <xf numFmtId="0" fontId="2" fillId="5" borderId="1" xfId="0" applyFont="1" applyFill="1" applyBorder="1" applyAlignment="1">
      <alignment horizontal="centerContinuous"/>
    </xf>
    <xf numFmtId="0" fontId="2" fillId="6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vertical="top" wrapText="1"/>
      <protection locked="0"/>
    </xf>
    <xf numFmtId="9" fontId="4" fillId="0" borderId="1" xfId="0" applyNumberFormat="1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165" fontId="4" fillId="0" borderId="1" xfId="0" applyNumberFormat="1" applyFont="1" applyBorder="1" applyProtection="1">
      <protection locked="0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0" borderId="0" xfId="0" applyFont="1" applyProtection="1">
      <protection locked="0"/>
    </xf>
    <xf numFmtId="0" fontId="1" fillId="2" borderId="1" xfId="0" applyFont="1" applyFill="1" applyBorder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4" fillId="9" borderId="1" xfId="0" applyFont="1" applyFill="1" applyBorder="1"/>
    <xf numFmtId="0" fontId="0" fillId="7" borderId="1" xfId="0" applyFill="1" applyBorder="1"/>
    <xf numFmtId="2" fontId="4" fillId="0" borderId="1" xfId="0" applyNumberFormat="1" applyFont="1" applyBorder="1" applyProtection="1">
      <protection locked="0"/>
    </xf>
    <xf numFmtId="2" fontId="0" fillId="0" borderId="1" xfId="0" applyNumberFormat="1" applyBorder="1"/>
    <xf numFmtId="0" fontId="0" fillId="8" borderId="0" xfId="0" applyFill="1" applyProtection="1">
      <protection locked="0"/>
    </xf>
    <xf numFmtId="0" fontId="3" fillId="8" borderId="0" xfId="0" applyFont="1" applyFill="1"/>
    <xf numFmtId="0" fontId="12" fillId="0" borderId="0" xfId="0" applyFont="1"/>
    <xf numFmtId="0" fontId="9" fillId="0" borderId="0" xfId="0" applyFont="1" applyAlignment="1">
      <alignment vertical="top" wrapText="1"/>
    </xf>
    <xf numFmtId="0" fontId="13" fillId="0" borderId="0" xfId="0" applyFont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Cost EMV by risk (mean $)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'EMV &amp; Mode Analysis'!$B$11</c:f>
              <c:strCache>
                <c:ptCount val="1"/>
                <c:pt idx="0">
                  <c:v>Cost EMV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'EMV &amp; Mode Analysis'!$A$12:$A$51</c:f>
              <c:strCache>
                <c:ptCount val="40"/>
                <c:pt idx="0">
                  <c:v>RSK001</c:v>
                </c:pt>
                <c:pt idx="1">
                  <c:v>RSK002</c:v>
                </c:pt>
                <c:pt idx="2">
                  <c:v>RSK003</c:v>
                </c:pt>
                <c:pt idx="3">
                  <c:v>RSK004</c:v>
                </c:pt>
                <c:pt idx="4">
                  <c:v>RSK005</c:v>
                </c:pt>
                <c:pt idx="5">
                  <c:v>RSK006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strCache>
            </c:strRef>
          </c:cat>
          <c:val>
            <c:numRef>
              <c:f>'EMV &amp; Mode Analysis'!$B$12:$B$51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7-4E06-A968-D18D90D99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Cost EMV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Schedule EMV by risk (mean 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'EMV &amp; Mode Analysis'!$B$54</c:f>
              <c:strCache>
                <c:ptCount val="1"/>
                <c:pt idx="0">
                  <c:v>Schedule EMV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'EMV &amp; Mode Analysis'!$A$55:$A$94</c:f>
              <c:strCache>
                <c:ptCount val="40"/>
                <c:pt idx="0">
                  <c:v>RSK001</c:v>
                </c:pt>
                <c:pt idx="1">
                  <c:v>RSK002</c:v>
                </c:pt>
                <c:pt idx="2">
                  <c:v>RSK003</c:v>
                </c:pt>
                <c:pt idx="3">
                  <c:v>RSK004</c:v>
                </c:pt>
                <c:pt idx="4">
                  <c:v>RSK005</c:v>
                </c:pt>
                <c:pt idx="5">
                  <c:v>RSK006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strCache>
            </c:strRef>
          </c:cat>
          <c:val>
            <c:numRef>
              <c:f>'EMV &amp; Mode Analysis'!$B$55:$B$94</c:f>
              <c:numCache>
                <c:formatCode>General</c:formatCode>
                <c:ptCount val="40"/>
                <c:pt idx="0">
                  <c:v>101062.49999999999</c:v>
                </c:pt>
                <c:pt idx="1">
                  <c:v>34270.833333333328</c:v>
                </c:pt>
                <c:pt idx="2">
                  <c:v>0</c:v>
                </c:pt>
                <c:pt idx="3">
                  <c:v>88375</c:v>
                </c:pt>
                <c:pt idx="4">
                  <c:v>23333.333333333332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6-408E-A79B-0651E050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Schedule EMV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Layer-1 EMV: cost vs schedule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'EMV &amp; Mode Analysis'!$B$97</c:f>
              <c:strCache>
                <c:ptCount val="1"/>
                <c:pt idx="0">
                  <c:v>EMV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'EMV &amp; Mode Analysis'!$A$98:$A$99</c:f>
              <c:strCache>
                <c:ptCount val="2"/>
                <c:pt idx="0">
                  <c:v>Cost</c:v>
                </c:pt>
                <c:pt idx="1">
                  <c:v>Schedule</c:v>
                </c:pt>
              </c:strCache>
            </c:strRef>
          </c:cat>
          <c:val>
            <c:numRef>
              <c:f>'EMV &amp; Mode Analysis'!$B$98:$B$99</c:f>
              <c:numCache>
                <c:formatCode>General</c:formatCode>
                <c:ptCount val="2"/>
                <c:pt idx="0">
                  <c:v>0</c:v>
                </c:pt>
                <c:pt idx="1">
                  <c:v>247041.66666666666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9-4CD1-871B-F2A61E40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EMV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23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43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pping" displayName="tblMapping" ref="A6:F46">
  <autoFilter ref="A6:F46" xr:uid="{00000000-0009-0000-0100-000001000000}"/>
  <tableColumns count="6">
    <tableColumn id="1" xr3:uid="{00000000-0010-0000-0000-000001000000}" name="Risk ID"/>
    <tableColumn id="2" xr3:uid="{00000000-0010-0000-0000-000002000000}" name="Pattern_ID"/>
    <tableColumn id="3" xr3:uid="{00000000-0010-0000-0000-000003000000}" name="Prefix_List"/>
    <tableColumn id="4" xr3:uid="{00000000-0010-0000-0000-000004000000}" name="Activity_Count"/>
    <tableColumn id="5" xr3:uid="{00000000-0010-0000-0000-000005000000}" name="Gating_Activity_ID"/>
    <tableColumn id="6" xr3:uid="{00000000-0010-0000-0000-000006000000}" name="Injection_Metho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isk_Activity_Patterns" displayName="tblRisk_Activity_Patterns" ref="A4:H44">
  <autoFilter ref="A4:H44" xr:uid="{00000000-0009-0000-0100-000002000000}"/>
  <tableColumns count="8">
    <tableColumn id="1" xr3:uid="{00000000-0010-0000-0100-000001000000}" name="Pattern_ID"/>
    <tableColumn id="2" xr3:uid="{00000000-0010-0000-0100-000002000000}" name="Description"/>
    <tableColumn id="3" xr3:uid="{00000000-0010-0000-0100-000003000000}" name="Prefix_List"/>
    <tableColumn id="4" xr3:uid="{00000000-0010-0000-0100-000004000000}" name="Is_Cost_Only"/>
    <tableColumn id="5" xr3:uid="{00000000-0010-0000-0100-000005000000}" name="Default_Mapping_Confidence"/>
    <tableColumn id="6" xr3:uid="{00000000-0010-0000-0100-000006000000}" name="Reconciliation_Treatment"/>
    <tableColumn id="7" xr3:uid="{00000000-0010-0000-0100-000007000000}" name="Example_Risk_IDs"/>
    <tableColumn id="8" xr3:uid="{00000000-0010-0000-0100-000008000000}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isk_Pattern_Assignments" displayName="tblRisk_Pattern_Assignments" ref="A4:D44">
  <autoFilter ref="A4:D44" xr:uid="{00000000-0009-0000-0100-000003000000}"/>
  <tableColumns count="4">
    <tableColumn id="1" xr3:uid="{00000000-0010-0000-0200-000001000000}" name="Risk_ID"/>
    <tableColumn id="2" xr3:uid="{00000000-0010-0000-0200-000002000000}" name="Pattern_ID"/>
    <tableColumn id="3" xr3:uid="{00000000-0010-0000-0200-000003000000}" name="Assignment_Confidence"/>
    <tableColumn id="4" xr3:uid="{00000000-0010-0000-0200-000004000000}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reatments" displayName="tblTreatments" ref="A5:D45">
  <autoFilter ref="A5:D45" xr:uid="{00000000-0009-0000-0100-000004000000}"/>
  <tableColumns count="4">
    <tableColumn id="1" xr3:uid="{00000000-0010-0000-0300-000001000000}" name="Risk_ID"/>
    <tableColumn id="2" xr3:uid="{00000000-0010-0000-0300-000002000000}" name="Treatment_Description"/>
    <tableColumn id="3" xr3:uid="{00000000-0010-0000-0300-000003000000}" name="Effectiveness_Pct"/>
    <tableColumn id="4" xr3:uid="{00000000-0010-0000-0300-000004000000}" name="Effectiveness_Confide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ayer1_Factors" displayName="tblLayer1_Factors" ref="A1:F26">
  <autoFilter ref="A1:F26" xr:uid="{00000000-0009-0000-0100-000005000000}"/>
  <tableColumns count="6">
    <tableColumn id="1" xr3:uid="{00000000-0010-0000-0400-000001000000}" name="Factor"/>
    <tableColumn id="2" xr3:uid="{00000000-0010-0000-0400-000002000000}" name="Driver"/>
    <tableColumn id="3" xr3:uid="{00000000-0010-0000-0400-000003000000}" name="Opt_P10"/>
    <tableColumn id="4" xr3:uid="{00000000-0010-0000-0400-000004000000}" name="ML_mode"/>
    <tableColumn id="5" xr3:uid="{00000000-0010-0000-0400-000005000000}" name="P90"/>
    <tableColumn id="6" xr3:uid="{00000000-0010-0000-0400-000006000000}" name="Column_Sco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</sheetPr>
  <dimension ref="A1:C66"/>
  <sheetViews>
    <sheetView showGridLines="0" tabSelected="1" workbookViewId="0"/>
  </sheetViews>
  <sheetFormatPr defaultRowHeight="14.5" x14ac:dyDescent="0.35"/>
  <cols>
    <col min="1" max="1" width="22" customWidth="1"/>
    <col min="2" max="2" width="90" customWidth="1"/>
    <col min="3" max="3" width="60" customWidth="1"/>
  </cols>
  <sheetData>
    <row r="1" spans="1:3" ht="18.5" x14ac:dyDescent="0.45">
      <c r="A1" s="1" t="s">
        <v>0</v>
      </c>
    </row>
    <row r="2" spans="1:3" x14ac:dyDescent="0.35">
      <c r="A2" s="2" t="s">
        <v>1</v>
      </c>
    </row>
    <row r="3" spans="1:3" x14ac:dyDescent="0.35">
      <c r="A3" s="3" t="s">
        <v>2</v>
      </c>
      <c r="B3" s="4" t="str">
        <f>Settings!B6</f>
        <v>1.4</v>
      </c>
      <c r="C3" s="2" t="s">
        <v>3</v>
      </c>
    </row>
    <row r="4" spans="1:3" x14ac:dyDescent="0.35">
      <c r="A4" s="3" t="s">
        <v>4</v>
      </c>
    </row>
    <row r="5" spans="1:3" x14ac:dyDescent="0.35">
      <c r="A5" s="5" t="s">
        <v>5</v>
      </c>
      <c r="B5" t="s">
        <v>6</v>
      </c>
      <c r="C5" s="2" t="s">
        <v>7</v>
      </c>
    </row>
    <row r="6" spans="1:3" x14ac:dyDescent="0.35">
      <c r="A6" s="5" t="s">
        <v>8</v>
      </c>
      <c r="B6" t="s">
        <v>9</v>
      </c>
      <c r="C6" s="2" t="s">
        <v>7</v>
      </c>
    </row>
    <row r="7" spans="1:3" x14ac:dyDescent="0.35">
      <c r="A7" s="5" t="s">
        <v>10</v>
      </c>
      <c r="B7" t="s">
        <v>11</v>
      </c>
      <c r="C7" s="2" t="s">
        <v>7</v>
      </c>
    </row>
    <row r="8" spans="1:3" x14ac:dyDescent="0.35">
      <c r="A8" s="5" t="s">
        <v>12</v>
      </c>
      <c r="B8" t="s">
        <v>13</v>
      </c>
      <c r="C8" s="2" t="s">
        <v>7</v>
      </c>
    </row>
    <row r="9" spans="1:3" x14ac:dyDescent="0.35">
      <c r="A9" s="5" t="s">
        <v>14</v>
      </c>
      <c r="B9" t="s">
        <v>15</v>
      </c>
      <c r="C9" s="2" t="s">
        <v>7</v>
      </c>
    </row>
    <row r="10" spans="1:3" x14ac:dyDescent="0.35">
      <c r="A10" s="5" t="s">
        <v>16</v>
      </c>
      <c r="B10" t="s">
        <v>17</v>
      </c>
      <c r="C10" s="2" t="s">
        <v>7</v>
      </c>
    </row>
    <row r="11" spans="1:3" x14ac:dyDescent="0.35">
      <c r="A11" s="5" t="s">
        <v>18</v>
      </c>
      <c r="B11" t="s">
        <v>19</v>
      </c>
      <c r="C11" s="2" t="s">
        <v>7</v>
      </c>
    </row>
    <row r="12" spans="1:3" x14ac:dyDescent="0.35">
      <c r="A12" s="5" t="s">
        <v>20</v>
      </c>
      <c r="B12" t="s">
        <v>21</v>
      </c>
      <c r="C12" s="2" t="s">
        <v>7</v>
      </c>
    </row>
    <row r="13" spans="1:3" x14ac:dyDescent="0.35">
      <c r="A13" s="5" t="s">
        <v>22</v>
      </c>
      <c r="B13" t="s">
        <v>23</v>
      </c>
      <c r="C13" s="2" t="s">
        <v>7</v>
      </c>
    </row>
    <row r="14" spans="1:3" x14ac:dyDescent="0.35">
      <c r="A14" s="5" t="s">
        <v>24</v>
      </c>
      <c r="B14" t="s">
        <v>25</v>
      </c>
      <c r="C14" s="2" t="s">
        <v>7</v>
      </c>
    </row>
    <row r="15" spans="1:3" x14ac:dyDescent="0.35">
      <c r="A15" s="5" t="s">
        <v>26</v>
      </c>
      <c r="B15" t="s">
        <v>27</v>
      </c>
      <c r="C15" s="2" t="s">
        <v>7</v>
      </c>
    </row>
    <row r="16" spans="1:3" x14ac:dyDescent="0.35">
      <c r="A16" s="5" t="s">
        <v>28</v>
      </c>
      <c r="B16" t="s">
        <v>29</v>
      </c>
      <c r="C16" s="2" t="s">
        <v>7</v>
      </c>
    </row>
    <row r="17" spans="1:3" x14ac:dyDescent="0.35">
      <c r="A17" s="5" t="s">
        <v>30</v>
      </c>
      <c r="B17" t="s">
        <v>31</v>
      </c>
      <c r="C17" s="2" t="s">
        <v>7</v>
      </c>
    </row>
    <row r="18" spans="1:3" x14ac:dyDescent="0.35">
      <c r="A18" s="5" t="s">
        <v>32</v>
      </c>
      <c r="B18" t="s">
        <v>33</v>
      </c>
      <c r="C18" s="2" t="s">
        <v>34</v>
      </c>
    </row>
    <row r="19" spans="1:3" x14ac:dyDescent="0.35">
      <c r="A19" s="5" t="s">
        <v>35</v>
      </c>
      <c r="B19" t="s">
        <v>36</v>
      </c>
      <c r="C19" s="2" t="s">
        <v>34</v>
      </c>
    </row>
    <row r="20" spans="1:3" x14ac:dyDescent="0.35">
      <c r="A20" s="5" t="s">
        <v>37</v>
      </c>
      <c r="B20" t="s">
        <v>38</v>
      </c>
      <c r="C20" s="2" t="s">
        <v>39</v>
      </c>
    </row>
    <row r="21" spans="1:3" x14ac:dyDescent="0.35">
      <c r="A21" s="5" t="s">
        <v>40</v>
      </c>
      <c r="B21" t="s">
        <v>41</v>
      </c>
      <c r="C21" s="2" t="s">
        <v>42</v>
      </c>
    </row>
    <row r="26" spans="1:3" x14ac:dyDescent="0.35">
      <c r="A26" s="3" t="s">
        <v>43</v>
      </c>
    </row>
    <row r="27" spans="1:3" x14ac:dyDescent="0.35">
      <c r="A27" s="6" t="s">
        <v>44</v>
      </c>
      <c r="B27" t="s">
        <v>45</v>
      </c>
    </row>
    <row r="28" spans="1:3" x14ac:dyDescent="0.35">
      <c r="A28" s="4" t="s">
        <v>46</v>
      </c>
      <c r="B28" t="s">
        <v>47</v>
      </c>
    </row>
    <row r="29" spans="1:3" x14ac:dyDescent="0.35">
      <c r="A29" s="7" t="s">
        <v>48</v>
      </c>
      <c r="B29" t="s">
        <v>49</v>
      </c>
    </row>
    <row r="30" spans="1:3" x14ac:dyDescent="0.35">
      <c r="A30" s="8" t="s">
        <v>50</v>
      </c>
      <c r="B30" t="s">
        <v>51</v>
      </c>
    </row>
    <row r="32" spans="1:3" x14ac:dyDescent="0.35">
      <c r="A32" s="3" t="s">
        <v>52</v>
      </c>
    </row>
    <row r="33" spans="1:2" x14ac:dyDescent="0.35">
      <c r="B33" t="s">
        <v>53</v>
      </c>
    </row>
    <row r="35" spans="1:2" x14ac:dyDescent="0.35">
      <c r="A35" s="3" t="s">
        <v>54</v>
      </c>
    </row>
    <row r="36" spans="1:2" x14ac:dyDescent="0.35">
      <c r="B36" t="s">
        <v>55</v>
      </c>
    </row>
    <row r="38" spans="1:2" x14ac:dyDescent="0.35">
      <c r="A38" s="3" t="s">
        <v>56</v>
      </c>
    </row>
    <row r="39" spans="1:2" x14ac:dyDescent="0.35">
      <c r="B39" t="s">
        <v>57</v>
      </c>
    </row>
    <row r="41" spans="1:2" x14ac:dyDescent="0.35">
      <c r="A41" s="3" t="s">
        <v>58</v>
      </c>
    </row>
    <row r="42" spans="1:2" x14ac:dyDescent="0.35">
      <c r="B42" t="s">
        <v>59</v>
      </c>
    </row>
    <row r="43" spans="1:2" x14ac:dyDescent="0.35">
      <c r="B43" t="s">
        <v>60</v>
      </c>
    </row>
    <row r="44" spans="1:2" x14ac:dyDescent="0.35">
      <c r="B44" t="s">
        <v>61</v>
      </c>
    </row>
    <row r="45" spans="1:2" x14ac:dyDescent="0.35">
      <c r="B45" t="s">
        <v>62</v>
      </c>
    </row>
    <row r="46" spans="1:2" x14ac:dyDescent="0.35">
      <c r="B46" t="s">
        <v>63</v>
      </c>
    </row>
    <row r="48" spans="1:2" x14ac:dyDescent="0.35">
      <c r="A48" s="3" t="s">
        <v>64</v>
      </c>
    </row>
    <row r="49" spans="1:2" x14ac:dyDescent="0.35">
      <c r="B49" t="s">
        <v>65</v>
      </c>
    </row>
    <row r="50" spans="1:2" x14ac:dyDescent="0.35">
      <c r="B50" t="s">
        <v>66</v>
      </c>
    </row>
    <row r="51" spans="1:2" x14ac:dyDescent="0.35">
      <c r="B51" t="s">
        <v>67</v>
      </c>
    </row>
    <row r="52" spans="1:2" x14ac:dyDescent="0.35">
      <c r="B52" t="s">
        <v>68</v>
      </c>
    </row>
    <row r="53" spans="1:2" x14ac:dyDescent="0.35">
      <c r="B53" t="s">
        <v>69</v>
      </c>
    </row>
    <row r="54" spans="1:2" x14ac:dyDescent="0.35">
      <c r="B54" t="s">
        <v>70</v>
      </c>
    </row>
    <row r="60" spans="1:2" x14ac:dyDescent="0.35">
      <c r="A60" s="3" t="s">
        <v>71</v>
      </c>
    </row>
    <row r="61" spans="1:2" x14ac:dyDescent="0.35">
      <c r="A61" s="5" t="s">
        <v>72</v>
      </c>
      <c r="B61" s="9"/>
    </row>
    <row r="62" spans="1:2" x14ac:dyDescent="0.35">
      <c r="A62" s="5" t="s">
        <v>73</v>
      </c>
      <c r="B62" s="9"/>
    </row>
    <row r="63" spans="1:2" x14ac:dyDescent="0.35">
      <c r="A63" s="5" t="s">
        <v>74</v>
      </c>
      <c r="B63" s="9"/>
    </row>
    <row r="64" spans="1:2" x14ac:dyDescent="0.35">
      <c r="A64" s="5" t="s">
        <v>75</v>
      </c>
      <c r="B64" s="9"/>
    </row>
    <row r="65" spans="1:2" x14ac:dyDescent="0.35">
      <c r="A65" s="5" t="s">
        <v>76</v>
      </c>
      <c r="B65" s="9" t="s">
        <v>77</v>
      </c>
    </row>
    <row r="66" spans="1:2" x14ac:dyDescent="0.35">
      <c r="A66" s="5" t="s">
        <v>78</v>
      </c>
      <c r="B66" s="9"/>
    </row>
  </sheetData>
  <sheetProtection sheet="1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7DFF"/>
    <pageSetUpPr fitToPage="1"/>
  </sheetPr>
  <dimension ref="A1:AE4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11" customWidth="1"/>
    <col min="3" max="3" width="40" customWidth="1"/>
    <col min="4" max="4" width="16" customWidth="1"/>
    <col min="5" max="5" width="20" customWidth="1"/>
    <col min="6" max="6" width="16" customWidth="1"/>
    <col min="7" max="7" width="10" customWidth="1"/>
    <col min="8" max="8" width="12" customWidth="1"/>
    <col min="9" max="10" width="14" customWidth="1"/>
    <col min="11" max="13" width="30" customWidth="1"/>
    <col min="19" max="19" width="26" customWidth="1"/>
    <col min="25" max="25" width="16" customWidth="1"/>
    <col min="26" max="26" width="11" customWidth="1"/>
    <col min="27" max="27" width="18" customWidth="1"/>
    <col min="28" max="29" width="15" customWidth="1"/>
    <col min="30" max="30" width="18" customWidth="1"/>
    <col min="31" max="31" width="22" customWidth="1"/>
  </cols>
  <sheetData>
    <row r="1" spans="1:31" x14ac:dyDescent="0.35">
      <c r="A1" s="10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x14ac:dyDescent="0.35">
      <c r="A2" s="10" t="s">
        <v>80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1" t="s">
        <v>81</v>
      </c>
      <c r="O3" s="11"/>
      <c r="P3" s="11"/>
      <c r="Q3" s="11"/>
      <c r="R3" s="11"/>
      <c r="S3" s="11"/>
      <c r="T3" s="12" t="s">
        <v>82</v>
      </c>
      <c r="U3" s="12"/>
      <c r="V3" s="12"/>
      <c r="W3" s="12"/>
      <c r="X3" s="12"/>
      <c r="Y3" s="12"/>
      <c r="Z3" s="13" t="s">
        <v>83</v>
      </c>
      <c r="AA3" s="13"/>
      <c r="AB3" s="13"/>
      <c r="AC3" s="13"/>
      <c r="AD3" s="13"/>
      <c r="AE3" s="14" t="s">
        <v>84</v>
      </c>
    </row>
    <row r="4" spans="1:31" ht="30" customHeight="1" x14ac:dyDescent="0.35">
      <c r="A4" s="15" t="s">
        <v>85</v>
      </c>
      <c r="B4" s="15" t="s">
        <v>86</v>
      </c>
      <c r="C4" s="15" t="s">
        <v>87</v>
      </c>
      <c r="D4" s="15" t="s">
        <v>88</v>
      </c>
      <c r="E4" s="15" t="s">
        <v>89</v>
      </c>
      <c r="F4" s="15" t="s">
        <v>90</v>
      </c>
      <c r="G4" s="15" t="s">
        <v>91</v>
      </c>
      <c r="H4" s="15" t="s">
        <v>92</v>
      </c>
      <c r="I4" s="15" t="s">
        <v>93</v>
      </c>
      <c r="J4" s="15" t="s">
        <v>94</v>
      </c>
      <c r="K4" s="15" t="s">
        <v>95</v>
      </c>
      <c r="L4" s="15" t="s">
        <v>96</v>
      </c>
      <c r="M4" s="15" t="s">
        <v>97</v>
      </c>
      <c r="N4" s="15" t="s">
        <v>98</v>
      </c>
      <c r="O4" s="15" t="s">
        <v>99</v>
      </c>
      <c r="P4" s="15" t="s">
        <v>100</v>
      </c>
      <c r="Q4" s="15" t="s">
        <v>101</v>
      </c>
      <c r="R4" s="15" t="s">
        <v>102</v>
      </c>
      <c r="S4" s="15" t="s">
        <v>103</v>
      </c>
      <c r="T4" s="15" t="s">
        <v>104</v>
      </c>
      <c r="U4" s="15" t="s">
        <v>105</v>
      </c>
      <c r="V4" s="15" t="s">
        <v>106</v>
      </c>
      <c r="W4" s="15" t="s">
        <v>107</v>
      </c>
      <c r="X4" s="15" t="s">
        <v>108</v>
      </c>
      <c r="Y4" s="15" t="s">
        <v>103</v>
      </c>
      <c r="Z4" s="15" t="s">
        <v>109</v>
      </c>
      <c r="AA4" s="15" t="s">
        <v>110</v>
      </c>
      <c r="AB4" s="15" t="s">
        <v>111</v>
      </c>
      <c r="AC4" s="15" t="s">
        <v>112</v>
      </c>
      <c r="AD4" s="15" t="s">
        <v>113</v>
      </c>
      <c r="AE4" s="15" t="s">
        <v>114</v>
      </c>
    </row>
    <row r="5" spans="1:31" x14ac:dyDescent="0.35">
      <c r="A5" s="9" t="s">
        <v>115</v>
      </c>
      <c r="B5" s="9" t="s">
        <v>116</v>
      </c>
      <c r="C5" s="16"/>
      <c r="D5" s="9"/>
      <c r="E5" s="9"/>
      <c r="F5" s="9"/>
      <c r="G5" s="9"/>
      <c r="H5" s="9"/>
      <c r="I5" s="9"/>
      <c r="J5" s="9"/>
      <c r="K5" s="16"/>
      <c r="L5" s="16"/>
      <c r="M5" s="16"/>
      <c r="N5" s="9"/>
      <c r="O5" s="17">
        <v>0.45</v>
      </c>
      <c r="P5" s="18"/>
      <c r="Q5" s="18"/>
      <c r="R5" s="18"/>
      <c r="S5" s="16"/>
      <c r="T5" s="9" t="s">
        <v>117</v>
      </c>
      <c r="U5" s="17">
        <v>0.45</v>
      </c>
      <c r="V5" s="19">
        <v>5</v>
      </c>
      <c r="W5" s="19">
        <v>12</v>
      </c>
      <c r="X5" s="19">
        <v>24</v>
      </c>
      <c r="Y5" s="16"/>
      <c r="Z5" s="9" t="s">
        <v>118</v>
      </c>
      <c r="AA5" s="9"/>
      <c r="AB5" s="20">
        <f t="shared" ref="AB5:AB44" si="0">IF(O5="","",O5*IF(OR(LOWER(H5)="pert",LOWER(H5)="binary/pert"),(P5+4*Q5+R5)/6,IF(LOWER(H5)="binary",Q5,IF(LOWER(H5)="lognormal",IF(Q5&lt;=0,0,IF(OR(R5&lt;=P5,R5&lt;=0,P5&lt;=0),ABS(Q5),Q5*EXP((MAX((LN(R5)-LN(P5))/(2*1.2816),0.01)^2)/2))),(P5+Q5+R5)/3))))</f>
        <v>0</v>
      </c>
      <c r="AC5" s="21">
        <f>IF(OR(T5&lt;&gt;"Yes",U5=""),0,U5*(V5+4*W5+X5)/6*IFERROR(INDEX(Methodology!$B$2:$B$20,MATCH(Z5,Methodology!$A$2:$A$20,0)),0))</f>
        <v>5.7749999999999995</v>
      </c>
      <c r="AD5" s="20">
        <f t="shared" ref="AD5:AD44" si="1">AC5*MC_day_rate</f>
        <v>101062.49999999999</v>
      </c>
      <c r="AE5" s="9"/>
    </row>
    <row r="6" spans="1:31" x14ac:dyDescent="0.35">
      <c r="A6" s="9" t="s">
        <v>119</v>
      </c>
      <c r="B6" s="9" t="s">
        <v>116</v>
      </c>
      <c r="C6" s="16"/>
      <c r="D6" s="9"/>
      <c r="E6" s="9"/>
      <c r="F6" s="9"/>
      <c r="G6" s="9"/>
      <c r="H6" s="9"/>
      <c r="I6" s="9"/>
      <c r="J6" s="9"/>
      <c r="K6" s="16"/>
      <c r="L6" s="16"/>
      <c r="M6" s="16"/>
      <c r="N6" s="9"/>
      <c r="O6" s="17">
        <v>0.5</v>
      </c>
      <c r="P6" s="18"/>
      <c r="Q6" s="18"/>
      <c r="R6" s="18"/>
      <c r="S6" s="16"/>
      <c r="T6" s="9" t="s">
        <v>117</v>
      </c>
      <c r="U6" s="17">
        <v>0.5</v>
      </c>
      <c r="V6" s="19">
        <v>3</v>
      </c>
      <c r="W6" s="19">
        <v>7</v>
      </c>
      <c r="X6" s="19">
        <v>16</v>
      </c>
      <c r="Y6" s="16"/>
      <c r="Z6" s="9" t="s">
        <v>120</v>
      </c>
      <c r="AA6" s="9"/>
      <c r="AB6" s="20">
        <f t="shared" si="0"/>
        <v>0</v>
      </c>
      <c r="AC6" s="21">
        <f>IF(OR(T6&lt;&gt;"Yes",U6=""),0,U6*(V6+4*W6+X6)/6*IFERROR(INDEX(Methodology!$B$2:$B$20,MATCH(Z6,Methodology!$A$2:$A$20,0)),0))</f>
        <v>1.9583333333333333</v>
      </c>
      <c r="AD6" s="20">
        <f t="shared" si="1"/>
        <v>34270.833333333328</v>
      </c>
      <c r="AE6" s="9"/>
    </row>
    <row r="7" spans="1:31" x14ac:dyDescent="0.35">
      <c r="A7" s="9" t="s">
        <v>121</v>
      </c>
      <c r="B7" s="9" t="s">
        <v>116</v>
      </c>
      <c r="C7" s="16"/>
      <c r="D7" s="9"/>
      <c r="E7" s="9"/>
      <c r="F7" s="9"/>
      <c r="G7" s="9"/>
      <c r="H7" s="9"/>
      <c r="I7" s="9"/>
      <c r="J7" s="9"/>
      <c r="K7" s="16"/>
      <c r="L7" s="16"/>
      <c r="M7" s="16"/>
      <c r="N7" s="9"/>
      <c r="O7" s="17">
        <v>0.35</v>
      </c>
      <c r="P7" s="18"/>
      <c r="Q7" s="18"/>
      <c r="R7" s="18"/>
      <c r="S7" s="16"/>
      <c r="T7" s="9" t="s">
        <v>117</v>
      </c>
      <c r="U7" s="17">
        <v>0.35</v>
      </c>
      <c r="V7" s="19">
        <v>1</v>
      </c>
      <c r="W7" s="19">
        <v>4</v>
      </c>
      <c r="X7" s="19">
        <v>10</v>
      </c>
      <c r="Y7" s="16"/>
      <c r="Z7" s="9" t="s">
        <v>122</v>
      </c>
      <c r="AA7" s="9"/>
      <c r="AB7" s="20">
        <f t="shared" si="0"/>
        <v>0</v>
      </c>
      <c r="AC7" s="21">
        <f>IF(OR(T7&lt;&gt;"Yes",U7=""),0,U7*(V7+4*W7+X7)/6*IFERROR(INDEX(Methodology!$B$2:$B$20,MATCH(Z7,Methodology!$A$2:$A$20,0)),0))</f>
        <v>0</v>
      </c>
      <c r="AD7" s="20">
        <f t="shared" si="1"/>
        <v>0</v>
      </c>
      <c r="AE7" s="9"/>
    </row>
    <row r="8" spans="1:31" x14ac:dyDescent="0.35">
      <c r="A8" s="9" t="s">
        <v>123</v>
      </c>
      <c r="B8" s="9" t="s">
        <v>116</v>
      </c>
      <c r="C8" s="16"/>
      <c r="D8" s="9"/>
      <c r="E8" s="9"/>
      <c r="F8" s="9"/>
      <c r="G8" s="9"/>
      <c r="H8" s="9"/>
      <c r="I8" s="9"/>
      <c r="J8" s="9"/>
      <c r="K8" s="16"/>
      <c r="L8" s="16"/>
      <c r="M8" s="16"/>
      <c r="N8" s="9"/>
      <c r="O8" s="17">
        <v>0.3</v>
      </c>
      <c r="P8" s="18"/>
      <c r="Q8" s="18"/>
      <c r="R8" s="18"/>
      <c r="S8" s="16"/>
      <c r="T8" s="9" t="s">
        <v>117</v>
      </c>
      <c r="U8" s="17">
        <v>0.3</v>
      </c>
      <c r="V8" s="19">
        <v>6</v>
      </c>
      <c r="W8" s="19">
        <v>15</v>
      </c>
      <c r="X8" s="19">
        <v>35</v>
      </c>
      <c r="Y8" s="16"/>
      <c r="Z8" s="9" t="s">
        <v>118</v>
      </c>
      <c r="AA8" s="9"/>
      <c r="AB8" s="20">
        <f t="shared" si="0"/>
        <v>0</v>
      </c>
      <c r="AC8" s="21">
        <f>IF(OR(T8&lt;&gt;"Yes",U8=""),0,U8*(V8+4*W8+X8)/6*IFERROR(INDEX(Methodology!$B$2:$B$20,MATCH(Z8,Methodology!$A$2:$A$20,0)),0))</f>
        <v>5.05</v>
      </c>
      <c r="AD8" s="20">
        <f t="shared" si="1"/>
        <v>88375</v>
      </c>
      <c r="AE8" s="9"/>
    </row>
    <row r="9" spans="1:31" x14ac:dyDescent="0.35">
      <c r="A9" s="9" t="s">
        <v>124</v>
      </c>
      <c r="B9" s="9" t="s">
        <v>116</v>
      </c>
      <c r="C9" s="16"/>
      <c r="D9" s="9"/>
      <c r="E9" s="9"/>
      <c r="F9" s="9"/>
      <c r="G9" s="9"/>
      <c r="H9" s="9"/>
      <c r="I9" s="9"/>
      <c r="J9" s="9"/>
      <c r="K9" s="16"/>
      <c r="L9" s="16"/>
      <c r="M9" s="16"/>
      <c r="N9" s="9"/>
      <c r="O9" s="17">
        <v>0.4</v>
      </c>
      <c r="P9" s="18"/>
      <c r="Q9" s="18"/>
      <c r="R9" s="18"/>
      <c r="S9" s="16"/>
      <c r="T9" s="9" t="s">
        <v>117</v>
      </c>
      <c r="U9" s="17">
        <v>0.4</v>
      </c>
      <c r="V9" s="19">
        <v>2</v>
      </c>
      <c r="W9" s="19">
        <v>6</v>
      </c>
      <c r="X9" s="19">
        <v>14</v>
      </c>
      <c r="Y9" s="16"/>
      <c r="Z9" s="9" t="s">
        <v>120</v>
      </c>
      <c r="AA9" s="9"/>
      <c r="AB9" s="20">
        <f t="shared" si="0"/>
        <v>0</v>
      </c>
      <c r="AC9" s="21">
        <f>IF(OR(T9&lt;&gt;"Yes",U9=""),0,U9*(V9+4*W9+X9)/6*IFERROR(INDEX(Methodology!$B$2:$B$20,MATCH(Z9,Methodology!$A$2:$A$20,0)),0))</f>
        <v>1.3333333333333333</v>
      </c>
      <c r="AD9" s="20">
        <f t="shared" si="1"/>
        <v>23333.333333333332</v>
      </c>
      <c r="AE9" s="9"/>
    </row>
    <row r="10" spans="1:31" x14ac:dyDescent="0.35">
      <c r="A10" s="9" t="s">
        <v>125</v>
      </c>
      <c r="B10" s="9" t="s">
        <v>116</v>
      </c>
      <c r="C10" s="16"/>
      <c r="D10" s="9"/>
      <c r="E10" s="9"/>
      <c r="F10" s="9"/>
      <c r="G10" s="9"/>
      <c r="H10" s="9"/>
      <c r="I10" s="9"/>
      <c r="J10" s="9"/>
      <c r="K10" s="16"/>
      <c r="L10" s="16"/>
      <c r="M10" s="16"/>
      <c r="N10" s="9"/>
      <c r="O10" s="17">
        <v>0.6</v>
      </c>
      <c r="P10" s="18"/>
      <c r="Q10" s="18"/>
      <c r="R10" s="18"/>
      <c r="S10" s="16"/>
      <c r="T10" s="9" t="s">
        <v>126</v>
      </c>
      <c r="U10" s="17">
        <v>0.6</v>
      </c>
      <c r="V10" s="19">
        <v>4</v>
      </c>
      <c r="W10" s="19">
        <v>9</v>
      </c>
      <c r="X10" s="19">
        <v>19</v>
      </c>
      <c r="Y10" s="16"/>
      <c r="Z10" s="9" t="s">
        <v>118</v>
      </c>
      <c r="AA10" s="9"/>
      <c r="AB10" s="20">
        <f t="shared" si="0"/>
        <v>0</v>
      </c>
      <c r="AC10" s="21">
        <f>IF(OR(T10&lt;&gt;"Yes",U10=""),0,U10*(V10+4*W10+X10)/6*IFERROR(INDEX(Methodology!$B$2:$B$20,MATCH(Z10,Methodology!$A$2:$A$20,0)),0))</f>
        <v>0</v>
      </c>
      <c r="AD10" s="20">
        <f t="shared" si="1"/>
        <v>0</v>
      </c>
      <c r="AE10" s="9"/>
    </row>
    <row r="11" spans="1:31" x14ac:dyDescent="0.35">
      <c r="A11" s="9"/>
      <c r="B11" s="9"/>
      <c r="C11" s="16"/>
      <c r="D11" s="9"/>
      <c r="E11" s="9"/>
      <c r="F11" s="9"/>
      <c r="G11" s="9"/>
      <c r="H11" s="9"/>
      <c r="I11" s="9"/>
      <c r="J11" s="9"/>
      <c r="K11" s="16"/>
      <c r="L11" s="16"/>
      <c r="M11" s="16"/>
      <c r="N11" s="9"/>
      <c r="O11" s="17"/>
      <c r="P11" s="18"/>
      <c r="Q11" s="18"/>
      <c r="R11" s="18"/>
      <c r="S11" s="16"/>
      <c r="T11" s="9"/>
      <c r="U11" s="17"/>
      <c r="V11" s="19"/>
      <c r="W11" s="19"/>
      <c r="X11" s="19"/>
      <c r="Y11" s="16"/>
      <c r="Z11" s="9"/>
      <c r="AA11" s="9"/>
      <c r="AB11" s="20" t="str">
        <f t="shared" si="0"/>
        <v/>
      </c>
      <c r="AC11" s="21">
        <f>IF(OR(T11&lt;&gt;"Yes",U11=""),0,U11*(V11+4*W11+X11)/6*IFERROR(INDEX(Methodology!$B$2:$B$20,MATCH(Z11,Methodology!$A$2:$A$20,0)),0))</f>
        <v>0</v>
      </c>
      <c r="AD11" s="20">
        <f t="shared" si="1"/>
        <v>0</v>
      </c>
      <c r="AE11" s="9"/>
    </row>
    <row r="12" spans="1:31" x14ac:dyDescent="0.35">
      <c r="A12" s="9"/>
      <c r="B12" s="9"/>
      <c r="C12" s="16"/>
      <c r="D12" s="9"/>
      <c r="E12" s="9"/>
      <c r="F12" s="9"/>
      <c r="G12" s="9"/>
      <c r="H12" s="9"/>
      <c r="I12" s="9"/>
      <c r="J12" s="9"/>
      <c r="K12" s="16"/>
      <c r="L12" s="16"/>
      <c r="M12" s="16"/>
      <c r="N12" s="9"/>
      <c r="O12" s="17"/>
      <c r="P12" s="18"/>
      <c r="Q12" s="18"/>
      <c r="R12" s="18"/>
      <c r="S12" s="16"/>
      <c r="T12" s="9"/>
      <c r="U12" s="17"/>
      <c r="V12" s="19"/>
      <c r="W12" s="19"/>
      <c r="X12" s="19"/>
      <c r="Y12" s="16"/>
      <c r="Z12" s="9"/>
      <c r="AA12" s="9"/>
      <c r="AB12" s="20" t="str">
        <f t="shared" si="0"/>
        <v/>
      </c>
      <c r="AC12" s="21">
        <f>IF(OR(T12&lt;&gt;"Yes",U12=""),0,U12*(V12+4*W12+X12)/6*IFERROR(INDEX(Methodology!$B$2:$B$20,MATCH(Z12,Methodology!$A$2:$A$20,0)),0))</f>
        <v>0</v>
      </c>
      <c r="AD12" s="20">
        <f t="shared" si="1"/>
        <v>0</v>
      </c>
      <c r="AE12" s="9"/>
    </row>
    <row r="13" spans="1:31" x14ac:dyDescent="0.35">
      <c r="A13" s="9"/>
      <c r="B13" s="9"/>
      <c r="C13" s="16"/>
      <c r="D13" s="9"/>
      <c r="E13" s="9"/>
      <c r="F13" s="9"/>
      <c r="G13" s="9"/>
      <c r="H13" s="9"/>
      <c r="I13" s="9"/>
      <c r="J13" s="9"/>
      <c r="K13" s="16"/>
      <c r="L13" s="16"/>
      <c r="M13" s="16"/>
      <c r="N13" s="9"/>
      <c r="O13" s="17"/>
      <c r="P13" s="18"/>
      <c r="Q13" s="18"/>
      <c r="R13" s="18"/>
      <c r="S13" s="16"/>
      <c r="T13" s="9"/>
      <c r="U13" s="17"/>
      <c r="V13" s="19"/>
      <c r="W13" s="19"/>
      <c r="X13" s="19"/>
      <c r="Y13" s="16"/>
      <c r="Z13" s="9"/>
      <c r="AA13" s="9"/>
      <c r="AB13" s="20" t="str">
        <f t="shared" si="0"/>
        <v/>
      </c>
      <c r="AC13" s="21">
        <f>IF(OR(T13&lt;&gt;"Yes",U13=""),0,U13*(V13+4*W13+X13)/6*IFERROR(INDEX(Methodology!$B$2:$B$20,MATCH(Z13,Methodology!$A$2:$A$20,0)),0))</f>
        <v>0</v>
      </c>
      <c r="AD13" s="20">
        <f t="shared" si="1"/>
        <v>0</v>
      </c>
      <c r="AE13" s="9"/>
    </row>
    <row r="14" spans="1:31" x14ac:dyDescent="0.35">
      <c r="A14" s="9"/>
      <c r="B14" s="9"/>
      <c r="C14" s="16"/>
      <c r="D14" s="9"/>
      <c r="E14" s="9"/>
      <c r="F14" s="9"/>
      <c r="G14" s="9"/>
      <c r="H14" s="9"/>
      <c r="I14" s="9"/>
      <c r="J14" s="9"/>
      <c r="K14" s="16"/>
      <c r="L14" s="16"/>
      <c r="M14" s="16"/>
      <c r="N14" s="9"/>
      <c r="O14" s="17"/>
      <c r="P14" s="18"/>
      <c r="Q14" s="18"/>
      <c r="R14" s="18"/>
      <c r="S14" s="16"/>
      <c r="T14" s="9"/>
      <c r="U14" s="17"/>
      <c r="V14" s="19"/>
      <c r="W14" s="19"/>
      <c r="X14" s="19"/>
      <c r="Y14" s="16"/>
      <c r="Z14" s="9"/>
      <c r="AA14" s="9"/>
      <c r="AB14" s="20" t="str">
        <f t="shared" si="0"/>
        <v/>
      </c>
      <c r="AC14" s="21">
        <f>IF(OR(T14&lt;&gt;"Yes",U14=""),0,U14*(V14+4*W14+X14)/6*IFERROR(INDEX(Methodology!$B$2:$B$20,MATCH(Z14,Methodology!$A$2:$A$20,0)),0))</f>
        <v>0</v>
      </c>
      <c r="AD14" s="20">
        <f t="shared" si="1"/>
        <v>0</v>
      </c>
      <c r="AE14" s="9"/>
    </row>
    <row r="15" spans="1:31" x14ac:dyDescent="0.35">
      <c r="A15" s="9"/>
      <c r="B15" s="9"/>
      <c r="C15" s="16"/>
      <c r="D15" s="9"/>
      <c r="E15" s="9"/>
      <c r="F15" s="9"/>
      <c r="G15" s="9"/>
      <c r="H15" s="9"/>
      <c r="I15" s="9"/>
      <c r="J15" s="9"/>
      <c r="K15" s="16"/>
      <c r="L15" s="16"/>
      <c r="M15" s="16"/>
      <c r="N15" s="9"/>
      <c r="O15" s="17"/>
      <c r="P15" s="18"/>
      <c r="Q15" s="18"/>
      <c r="R15" s="18"/>
      <c r="S15" s="16"/>
      <c r="T15" s="9"/>
      <c r="U15" s="17"/>
      <c r="V15" s="19"/>
      <c r="W15" s="19"/>
      <c r="X15" s="19"/>
      <c r="Y15" s="16"/>
      <c r="Z15" s="9"/>
      <c r="AA15" s="9"/>
      <c r="AB15" s="20" t="str">
        <f t="shared" si="0"/>
        <v/>
      </c>
      <c r="AC15" s="21">
        <f>IF(OR(T15&lt;&gt;"Yes",U15=""),0,U15*(V15+4*W15+X15)/6*IFERROR(INDEX(Methodology!$B$2:$B$20,MATCH(Z15,Methodology!$A$2:$A$20,0)),0))</f>
        <v>0</v>
      </c>
      <c r="AD15" s="20">
        <f t="shared" si="1"/>
        <v>0</v>
      </c>
      <c r="AE15" s="9"/>
    </row>
    <row r="16" spans="1:31" x14ac:dyDescent="0.35">
      <c r="A16" s="9"/>
      <c r="B16" s="9"/>
      <c r="C16" s="16"/>
      <c r="D16" s="9"/>
      <c r="E16" s="9"/>
      <c r="F16" s="9"/>
      <c r="G16" s="9"/>
      <c r="H16" s="9"/>
      <c r="I16" s="9"/>
      <c r="J16" s="9"/>
      <c r="K16" s="16"/>
      <c r="L16" s="16"/>
      <c r="M16" s="16"/>
      <c r="N16" s="9"/>
      <c r="O16" s="17"/>
      <c r="P16" s="18"/>
      <c r="Q16" s="18"/>
      <c r="R16" s="18"/>
      <c r="S16" s="16"/>
      <c r="T16" s="9"/>
      <c r="U16" s="17"/>
      <c r="V16" s="19"/>
      <c r="W16" s="19"/>
      <c r="X16" s="19"/>
      <c r="Y16" s="16"/>
      <c r="Z16" s="9"/>
      <c r="AA16" s="9"/>
      <c r="AB16" s="20" t="str">
        <f t="shared" si="0"/>
        <v/>
      </c>
      <c r="AC16" s="21">
        <f>IF(OR(T16&lt;&gt;"Yes",U16=""),0,U16*(V16+4*W16+X16)/6*IFERROR(INDEX(Methodology!$B$2:$B$20,MATCH(Z16,Methodology!$A$2:$A$20,0)),0))</f>
        <v>0</v>
      </c>
      <c r="AD16" s="20">
        <f t="shared" si="1"/>
        <v>0</v>
      </c>
      <c r="AE16" s="9"/>
    </row>
    <row r="17" spans="1:31" x14ac:dyDescent="0.35">
      <c r="A17" s="9"/>
      <c r="B17" s="9"/>
      <c r="C17" s="16"/>
      <c r="D17" s="9"/>
      <c r="E17" s="9"/>
      <c r="F17" s="9"/>
      <c r="G17" s="9"/>
      <c r="H17" s="9"/>
      <c r="I17" s="9"/>
      <c r="J17" s="9"/>
      <c r="K17" s="16"/>
      <c r="L17" s="16"/>
      <c r="M17" s="16"/>
      <c r="N17" s="9"/>
      <c r="O17" s="17"/>
      <c r="P17" s="18"/>
      <c r="Q17" s="18"/>
      <c r="R17" s="18"/>
      <c r="S17" s="16"/>
      <c r="T17" s="9"/>
      <c r="U17" s="17"/>
      <c r="V17" s="19"/>
      <c r="W17" s="19"/>
      <c r="X17" s="19"/>
      <c r="Y17" s="16"/>
      <c r="Z17" s="9"/>
      <c r="AA17" s="9"/>
      <c r="AB17" s="20" t="str">
        <f t="shared" si="0"/>
        <v/>
      </c>
      <c r="AC17" s="21">
        <f>IF(OR(T17&lt;&gt;"Yes",U17=""),0,U17*(V17+4*W17+X17)/6*IFERROR(INDEX(Methodology!$B$2:$B$20,MATCH(Z17,Methodology!$A$2:$A$20,0)),0))</f>
        <v>0</v>
      </c>
      <c r="AD17" s="20">
        <f t="shared" si="1"/>
        <v>0</v>
      </c>
      <c r="AE17" s="9"/>
    </row>
    <row r="18" spans="1:31" x14ac:dyDescent="0.35">
      <c r="A18" s="9"/>
      <c r="B18" s="9"/>
      <c r="C18" s="16"/>
      <c r="D18" s="9"/>
      <c r="E18" s="9"/>
      <c r="F18" s="9"/>
      <c r="G18" s="9"/>
      <c r="H18" s="9"/>
      <c r="I18" s="9"/>
      <c r="J18" s="9"/>
      <c r="K18" s="16"/>
      <c r="L18" s="16"/>
      <c r="M18" s="16"/>
      <c r="N18" s="9"/>
      <c r="O18" s="17"/>
      <c r="P18" s="18"/>
      <c r="Q18" s="18"/>
      <c r="R18" s="18"/>
      <c r="S18" s="16"/>
      <c r="T18" s="9"/>
      <c r="U18" s="17"/>
      <c r="V18" s="19"/>
      <c r="W18" s="19"/>
      <c r="X18" s="19"/>
      <c r="Y18" s="16"/>
      <c r="Z18" s="9"/>
      <c r="AA18" s="9"/>
      <c r="AB18" s="20" t="str">
        <f t="shared" si="0"/>
        <v/>
      </c>
      <c r="AC18" s="21">
        <f>IF(OR(T18&lt;&gt;"Yes",U18=""),0,U18*(V18+4*W18+X18)/6*IFERROR(INDEX(Methodology!$B$2:$B$20,MATCH(Z18,Methodology!$A$2:$A$20,0)),0))</f>
        <v>0</v>
      </c>
      <c r="AD18" s="20">
        <f t="shared" si="1"/>
        <v>0</v>
      </c>
      <c r="AE18" s="9"/>
    </row>
    <row r="19" spans="1:31" x14ac:dyDescent="0.35">
      <c r="A19" s="9"/>
      <c r="B19" s="9"/>
      <c r="C19" s="16"/>
      <c r="D19" s="9"/>
      <c r="E19" s="9"/>
      <c r="F19" s="9"/>
      <c r="G19" s="9"/>
      <c r="H19" s="9"/>
      <c r="I19" s="9"/>
      <c r="J19" s="9"/>
      <c r="K19" s="16"/>
      <c r="L19" s="16"/>
      <c r="M19" s="16"/>
      <c r="N19" s="9"/>
      <c r="O19" s="17"/>
      <c r="P19" s="18"/>
      <c r="Q19" s="18"/>
      <c r="R19" s="18"/>
      <c r="S19" s="16"/>
      <c r="T19" s="9"/>
      <c r="U19" s="17"/>
      <c r="V19" s="19"/>
      <c r="W19" s="19"/>
      <c r="X19" s="19"/>
      <c r="Y19" s="16"/>
      <c r="Z19" s="9"/>
      <c r="AA19" s="9"/>
      <c r="AB19" s="20" t="str">
        <f t="shared" si="0"/>
        <v/>
      </c>
      <c r="AC19" s="21">
        <f>IF(OR(T19&lt;&gt;"Yes",U19=""),0,U19*(V19+4*W19+X19)/6*IFERROR(INDEX(Methodology!$B$2:$B$20,MATCH(Z19,Methodology!$A$2:$A$20,0)),0))</f>
        <v>0</v>
      </c>
      <c r="AD19" s="20">
        <f t="shared" si="1"/>
        <v>0</v>
      </c>
      <c r="AE19" s="9"/>
    </row>
    <row r="20" spans="1:31" x14ac:dyDescent="0.35">
      <c r="A20" s="9"/>
      <c r="B20" s="9"/>
      <c r="C20" s="16"/>
      <c r="D20" s="9"/>
      <c r="E20" s="9"/>
      <c r="F20" s="9"/>
      <c r="G20" s="9"/>
      <c r="H20" s="9"/>
      <c r="I20" s="9"/>
      <c r="J20" s="9"/>
      <c r="K20" s="16"/>
      <c r="L20" s="16"/>
      <c r="M20" s="16"/>
      <c r="N20" s="9"/>
      <c r="O20" s="17"/>
      <c r="P20" s="18"/>
      <c r="Q20" s="18"/>
      <c r="R20" s="18"/>
      <c r="S20" s="16"/>
      <c r="T20" s="9"/>
      <c r="U20" s="17"/>
      <c r="V20" s="19"/>
      <c r="W20" s="19"/>
      <c r="X20" s="19"/>
      <c r="Y20" s="16"/>
      <c r="Z20" s="9"/>
      <c r="AA20" s="9"/>
      <c r="AB20" s="20" t="str">
        <f t="shared" si="0"/>
        <v/>
      </c>
      <c r="AC20" s="21">
        <f>IF(OR(T20&lt;&gt;"Yes",U20=""),0,U20*(V20+4*W20+X20)/6*IFERROR(INDEX(Methodology!$B$2:$B$20,MATCH(Z20,Methodology!$A$2:$A$20,0)),0))</f>
        <v>0</v>
      </c>
      <c r="AD20" s="20">
        <f t="shared" si="1"/>
        <v>0</v>
      </c>
      <c r="AE20" s="9"/>
    </row>
    <row r="21" spans="1:31" x14ac:dyDescent="0.35">
      <c r="A21" s="9"/>
      <c r="B21" s="9"/>
      <c r="C21" s="16"/>
      <c r="D21" s="9"/>
      <c r="E21" s="9"/>
      <c r="F21" s="9"/>
      <c r="G21" s="9"/>
      <c r="H21" s="9"/>
      <c r="I21" s="9"/>
      <c r="J21" s="9"/>
      <c r="K21" s="16"/>
      <c r="L21" s="16"/>
      <c r="M21" s="16"/>
      <c r="N21" s="9"/>
      <c r="O21" s="17"/>
      <c r="P21" s="18"/>
      <c r="Q21" s="18"/>
      <c r="R21" s="18"/>
      <c r="S21" s="16"/>
      <c r="T21" s="9"/>
      <c r="U21" s="17"/>
      <c r="V21" s="19"/>
      <c r="W21" s="19"/>
      <c r="X21" s="19"/>
      <c r="Y21" s="16"/>
      <c r="Z21" s="9"/>
      <c r="AA21" s="9"/>
      <c r="AB21" s="20" t="str">
        <f t="shared" si="0"/>
        <v/>
      </c>
      <c r="AC21" s="21">
        <f>IF(OR(T21&lt;&gt;"Yes",U21=""),0,U21*(V21+4*W21+X21)/6*IFERROR(INDEX(Methodology!$B$2:$B$20,MATCH(Z21,Methodology!$A$2:$A$20,0)),0))</f>
        <v>0</v>
      </c>
      <c r="AD21" s="20">
        <f t="shared" si="1"/>
        <v>0</v>
      </c>
      <c r="AE21" s="9"/>
    </row>
    <row r="22" spans="1:31" x14ac:dyDescent="0.35">
      <c r="A22" s="9"/>
      <c r="B22" s="9"/>
      <c r="C22" s="16"/>
      <c r="D22" s="9"/>
      <c r="E22" s="9"/>
      <c r="F22" s="9"/>
      <c r="G22" s="9"/>
      <c r="H22" s="9"/>
      <c r="I22" s="9"/>
      <c r="J22" s="9"/>
      <c r="K22" s="16"/>
      <c r="L22" s="16"/>
      <c r="M22" s="16"/>
      <c r="N22" s="9"/>
      <c r="O22" s="17"/>
      <c r="P22" s="18"/>
      <c r="Q22" s="18"/>
      <c r="R22" s="18"/>
      <c r="S22" s="16"/>
      <c r="T22" s="9"/>
      <c r="U22" s="17"/>
      <c r="V22" s="19"/>
      <c r="W22" s="19"/>
      <c r="X22" s="19"/>
      <c r="Y22" s="16"/>
      <c r="Z22" s="9"/>
      <c r="AA22" s="9"/>
      <c r="AB22" s="20" t="str">
        <f t="shared" si="0"/>
        <v/>
      </c>
      <c r="AC22" s="21">
        <f>IF(OR(T22&lt;&gt;"Yes",U22=""),0,U22*(V22+4*W22+X22)/6*IFERROR(INDEX(Methodology!$B$2:$B$20,MATCH(Z22,Methodology!$A$2:$A$20,0)),0))</f>
        <v>0</v>
      </c>
      <c r="AD22" s="20">
        <f t="shared" si="1"/>
        <v>0</v>
      </c>
      <c r="AE22" s="9"/>
    </row>
    <row r="23" spans="1:31" x14ac:dyDescent="0.35">
      <c r="A23" s="9"/>
      <c r="B23" s="9"/>
      <c r="C23" s="16"/>
      <c r="D23" s="9"/>
      <c r="E23" s="9"/>
      <c r="F23" s="9"/>
      <c r="G23" s="9"/>
      <c r="H23" s="9"/>
      <c r="I23" s="9"/>
      <c r="J23" s="9"/>
      <c r="K23" s="16"/>
      <c r="L23" s="16"/>
      <c r="M23" s="16"/>
      <c r="N23" s="9"/>
      <c r="O23" s="17"/>
      <c r="P23" s="18"/>
      <c r="Q23" s="18"/>
      <c r="R23" s="18"/>
      <c r="S23" s="16"/>
      <c r="T23" s="9"/>
      <c r="U23" s="17"/>
      <c r="V23" s="19"/>
      <c r="W23" s="19"/>
      <c r="X23" s="19"/>
      <c r="Y23" s="16"/>
      <c r="Z23" s="9"/>
      <c r="AA23" s="9"/>
      <c r="AB23" s="20" t="str">
        <f t="shared" si="0"/>
        <v/>
      </c>
      <c r="AC23" s="21">
        <f>IF(OR(T23&lt;&gt;"Yes",U23=""),0,U23*(V23+4*W23+X23)/6*IFERROR(INDEX(Methodology!$B$2:$B$20,MATCH(Z23,Methodology!$A$2:$A$20,0)),0))</f>
        <v>0</v>
      </c>
      <c r="AD23" s="20">
        <f t="shared" si="1"/>
        <v>0</v>
      </c>
      <c r="AE23" s="9"/>
    </row>
    <row r="24" spans="1:31" x14ac:dyDescent="0.35">
      <c r="A24" s="9"/>
      <c r="B24" s="9"/>
      <c r="C24" s="16"/>
      <c r="D24" s="9"/>
      <c r="E24" s="9"/>
      <c r="F24" s="9"/>
      <c r="G24" s="9"/>
      <c r="H24" s="9"/>
      <c r="I24" s="9"/>
      <c r="J24" s="9"/>
      <c r="K24" s="16"/>
      <c r="L24" s="16"/>
      <c r="M24" s="16"/>
      <c r="N24" s="9"/>
      <c r="O24" s="17"/>
      <c r="P24" s="18"/>
      <c r="Q24" s="18"/>
      <c r="R24" s="18"/>
      <c r="S24" s="16"/>
      <c r="T24" s="9"/>
      <c r="U24" s="17"/>
      <c r="V24" s="19"/>
      <c r="W24" s="19"/>
      <c r="X24" s="19"/>
      <c r="Y24" s="16"/>
      <c r="Z24" s="9"/>
      <c r="AA24" s="9"/>
      <c r="AB24" s="20" t="str">
        <f t="shared" si="0"/>
        <v/>
      </c>
      <c r="AC24" s="21">
        <f>IF(OR(T24&lt;&gt;"Yes",U24=""),0,U24*(V24+4*W24+X24)/6*IFERROR(INDEX(Methodology!$B$2:$B$20,MATCH(Z24,Methodology!$A$2:$A$20,0)),0))</f>
        <v>0</v>
      </c>
      <c r="AD24" s="20">
        <f t="shared" si="1"/>
        <v>0</v>
      </c>
      <c r="AE24" s="9"/>
    </row>
    <row r="25" spans="1:31" x14ac:dyDescent="0.35">
      <c r="A25" s="9"/>
      <c r="B25" s="9"/>
      <c r="C25" s="16"/>
      <c r="D25" s="9"/>
      <c r="E25" s="9"/>
      <c r="F25" s="9"/>
      <c r="G25" s="9"/>
      <c r="H25" s="9"/>
      <c r="I25" s="9"/>
      <c r="J25" s="9"/>
      <c r="K25" s="16"/>
      <c r="L25" s="16"/>
      <c r="M25" s="16"/>
      <c r="N25" s="9"/>
      <c r="O25" s="17"/>
      <c r="P25" s="18"/>
      <c r="Q25" s="18"/>
      <c r="R25" s="18"/>
      <c r="S25" s="16"/>
      <c r="T25" s="9"/>
      <c r="U25" s="17"/>
      <c r="V25" s="19"/>
      <c r="W25" s="19"/>
      <c r="X25" s="19"/>
      <c r="Y25" s="16"/>
      <c r="Z25" s="9"/>
      <c r="AA25" s="9"/>
      <c r="AB25" s="20" t="str">
        <f t="shared" si="0"/>
        <v/>
      </c>
      <c r="AC25" s="21">
        <f>IF(OR(T25&lt;&gt;"Yes",U25=""),0,U25*(V25+4*W25+X25)/6*IFERROR(INDEX(Methodology!$B$2:$B$20,MATCH(Z25,Methodology!$A$2:$A$20,0)),0))</f>
        <v>0</v>
      </c>
      <c r="AD25" s="20">
        <f t="shared" si="1"/>
        <v>0</v>
      </c>
      <c r="AE25" s="9"/>
    </row>
    <row r="26" spans="1:31" x14ac:dyDescent="0.35">
      <c r="A26" s="9"/>
      <c r="B26" s="9"/>
      <c r="C26" s="16"/>
      <c r="D26" s="9"/>
      <c r="E26" s="9"/>
      <c r="F26" s="9"/>
      <c r="G26" s="9"/>
      <c r="H26" s="9"/>
      <c r="I26" s="9"/>
      <c r="J26" s="9"/>
      <c r="K26" s="16"/>
      <c r="L26" s="16"/>
      <c r="M26" s="16"/>
      <c r="N26" s="9"/>
      <c r="O26" s="17"/>
      <c r="P26" s="18"/>
      <c r="Q26" s="18"/>
      <c r="R26" s="18"/>
      <c r="S26" s="16"/>
      <c r="T26" s="9"/>
      <c r="U26" s="17"/>
      <c r="V26" s="19"/>
      <c r="W26" s="19"/>
      <c r="X26" s="19"/>
      <c r="Y26" s="16"/>
      <c r="Z26" s="9"/>
      <c r="AA26" s="9"/>
      <c r="AB26" s="20" t="str">
        <f t="shared" si="0"/>
        <v/>
      </c>
      <c r="AC26" s="21">
        <f>IF(OR(T26&lt;&gt;"Yes",U26=""),0,U26*(V26+4*W26+X26)/6*IFERROR(INDEX(Methodology!$B$2:$B$20,MATCH(Z26,Methodology!$A$2:$A$20,0)),0))</f>
        <v>0</v>
      </c>
      <c r="AD26" s="20">
        <f t="shared" si="1"/>
        <v>0</v>
      </c>
      <c r="AE26" s="9"/>
    </row>
    <row r="27" spans="1:31" x14ac:dyDescent="0.35">
      <c r="A27" s="9"/>
      <c r="B27" s="9"/>
      <c r="C27" s="16"/>
      <c r="D27" s="9"/>
      <c r="E27" s="9"/>
      <c r="F27" s="9"/>
      <c r="G27" s="9"/>
      <c r="H27" s="9"/>
      <c r="I27" s="9"/>
      <c r="J27" s="9"/>
      <c r="K27" s="16"/>
      <c r="L27" s="16"/>
      <c r="M27" s="16"/>
      <c r="N27" s="9"/>
      <c r="O27" s="17"/>
      <c r="P27" s="18"/>
      <c r="Q27" s="18"/>
      <c r="R27" s="18"/>
      <c r="S27" s="16"/>
      <c r="T27" s="9"/>
      <c r="U27" s="17"/>
      <c r="V27" s="19"/>
      <c r="W27" s="19"/>
      <c r="X27" s="19"/>
      <c r="Y27" s="16"/>
      <c r="Z27" s="9"/>
      <c r="AA27" s="9"/>
      <c r="AB27" s="20" t="str">
        <f t="shared" si="0"/>
        <v/>
      </c>
      <c r="AC27" s="21">
        <f>IF(OR(T27&lt;&gt;"Yes",U27=""),0,U27*(V27+4*W27+X27)/6*IFERROR(INDEX(Methodology!$B$2:$B$20,MATCH(Z27,Methodology!$A$2:$A$20,0)),0))</f>
        <v>0</v>
      </c>
      <c r="AD27" s="20">
        <f t="shared" si="1"/>
        <v>0</v>
      </c>
      <c r="AE27" s="9"/>
    </row>
    <row r="28" spans="1:31" x14ac:dyDescent="0.35">
      <c r="A28" s="9"/>
      <c r="B28" s="9"/>
      <c r="C28" s="16"/>
      <c r="D28" s="9"/>
      <c r="E28" s="9"/>
      <c r="F28" s="9"/>
      <c r="G28" s="9"/>
      <c r="H28" s="9"/>
      <c r="I28" s="9"/>
      <c r="J28" s="9"/>
      <c r="K28" s="16"/>
      <c r="L28" s="16"/>
      <c r="M28" s="16"/>
      <c r="N28" s="9"/>
      <c r="O28" s="17"/>
      <c r="P28" s="18"/>
      <c r="Q28" s="18"/>
      <c r="R28" s="18"/>
      <c r="S28" s="16"/>
      <c r="T28" s="9"/>
      <c r="U28" s="17"/>
      <c r="V28" s="19"/>
      <c r="W28" s="19"/>
      <c r="X28" s="19"/>
      <c r="Y28" s="16"/>
      <c r="Z28" s="9"/>
      <c r="AA28" s="9"/>
      <c r="AB28" s="20" t="str">
        <f t="shared" si="0"/>
        <v/>
      </c>
      <c r="AC28" s="21">
        <f>IF(OR(T28&lt;&gt;"Yes",U28=""),0,U28*(V28+4*W28+X28)/6*IFERROR(INDEX(Methodology!$B$2:$B$20,MATCH(Z28,Methodology!$A$2:$A$20,0)),0))</f>
        <v>0</v>
      </c>
      <c r="AD28" s="20">
        <f t="shared" si="1"/>
        <v>0</v>
      </c>
      <c r="AE28" s="9"/>
    </row>
    <row r="29" spans="1:31" x14ac:dyDescent="0.35">
      <c r="A29" s="9"/>
      <c r="B29" s="9"/>
      <c r="C29" s="16"/>
      <c r="D29" s="9"/>
      <c r="E29" s="9"/>
      <c r="F29" s="9"/>
      <c r="G29" s="9"/>
      <c r="H29" s="9"/>
      <c r="I29" s="9"/>
      <c r="J29" s="9"/>
      <c r="K29" s="16"/>
      <c r="L29" s="16"/>
      <c r="M29" s="16"/>
      <c r="N29" s="9"/>
      <c r="O29" s="17"/>
      <c r="P29" s="18"/>
      <c r="Q29" s="18"/>
      <c r="R29" s="18"/>
      <c r="S29" s="16"/>
      <c r="T29" s="9"/>
      <c r="U29" s="17"/>
      <c r="V29" s="19"/>
      <c r="W29" s="19"/>
      <c r="X29" s="19"/>
      <c r="Y29" s="16"/>
      <c r="Z29" s="9"/>
      <c r="AA29" s="9"/>
      <c r="AB29" s="20" t="str">
        <f t="shared" si="0"/>
        <v/>
      </c>
      <c r="AC29" s="21">
        <f>IF(OR(T29&lt;&gt;"Yes",U29=""),0,U29*(V29+4*W29+X29)/6*IFERROR(INDEX(Methodology!$B$2:$B$20,MATCH(Z29,Methodology!$A$2:$A$20,0)),0))</f>
        <v>0</v>
      </c>
      <c r="AD29" s="20">
        <f t="shared" si="1"/>
        <v>0</v>
      </c>
      <c r="AE29" s="9"/>
    </row>
    <row r="30" spans="1:31" x14ac:dyDescent="0.35">
      <c r="A30" s="9"/>
      <c r="B30" s="9"/>
      <c r="C30" s="16"/>
      <c r="D30" s="9"/>
      <c r="E30" s="9"/>
      <c r="F30" s="9"/>
      <c r="G30" s="9"/>
      <c r="H30" s="9"/>
      <c r="I30" s="9"/>
      <c r="J30" s="9"/>
      <c r="K30" s="16"/>
      <c r="L30" s="16"/>
      <c r="M30" s="16"/>
      <c r="N30" s="9"/>
      <c r="O30" s="17"/>
      <c r="P30" s="18"/>
      <c r="Q30" s="18"/>
      <c r="R30" s="18"/>
      <c r="S30" s="16"/>
      <c r="T30" s="9"/>
      <c r="U30" s="17"/>
      <c r="V30" s="19"/>
      <c r="W30" s="19"/>
      <c r="X30" s="19"/>
      <c r="Y30" s="16"/>
      <c r="Z30" s="9"/>
      <c r="AA30" s="9"/>
      <c r="AB30" s="20" t="str">
        <f t="shared" si="0"/>
        <v/>
      </c>
      <c r="AC30" s="21">
        <f>IF(OR(T30&lt;&gt;"Yes",U30=""),0,U30*(V30+4*W30+X30)/6*IFERROR(INDEX(Methodology!$B$2:$B$20,MATCH(Z30,Methodology!$A$2:$A$20,0)),0))</f>
        <v>0</v>
      </c>
      <c r="AD30" s="20">
        <f t="shared" si="1"/>
        <v>0</v>
      </c>
      <c r="AE30" s="9"/>
    </row>
    <row r="31" spans="1:31" x14ac:dyDescent="0.35">
      <c r="A31" s="9"/>
      <c r="B31" s="9"/>
      <c r="C31" s="16"/>
      <c r="D31" s="9"/>
      <c r="E31" s="9"/>
      <c r="F31" s="9"/>
      <c r="G31" s="9"/>
      <c r="H31" s="9"/>
      <c r="I31" s="9"/>
      <c r="J31" s="9"/>
      <c r="K31" s="16"/>
      <c r="L31" s="16"/>
      <c r="M31" s="16"/>
      <c r="N31" s="9"/>
      <c r="O31" s="17"/>
      <c r="P31" s="18"/>
      <c r="Q31" s="18"/>
      <c r="R31" s="18"/>
      <c r="S31" s="16"/>
      <c r="T31" s="9"/>
      <c r="U31" s="17"/>
      <c r="V31" s="19"/>
      <c r="W31" s="19"/>
      <c r="X31" s="19"/>
      <c r="Y31" s="16"/>
      <c r="Z31" s="9"/>
      <c r="AA31" s="9"/>
      <c r="AB31" s="20" t="str">
        <f t="shared" si="0"/>
        <v/>
      </c>
      <c r="AC31" s="21">
        <f>IF(OR(T31&lt;&gt;"Yes",U31=""),0,U31*(V31+4*W31+X31)/6*IFERROR(INDEX(Methodology!$B$2:$B$20,MATCH(Z31,Methodology!$A$2:$A$20,0)),0))</f>
        <v>0</v>
      </c>
      <c r="AD31" s="20">
        <f t="shared" si="1"/>
        <v>0</v>
      </c>
      <c r="AE31" s="9"/>
    </row>
    <row r="32" spans="1:31" x14ac:dyDescent="0.35">
      <c r="A32" s="9"/>
      <c r="B32" s="9"/>
      <c r="C32" s="16"/>
      <c r="D32" s="9"/>
      <c r="E32" s="9"/>
      <c r="F32" s="9"/>
      <c r="G32" s="9"/>
      <c r="H32" s="9"/>
      <c r="I32" s="9"/>
      <c r="J32" s="9"/>
      <c r="K32" s="16"/>
      <c r="L32" s="16"/>
      <c r="M32" s="16"/>
      <c r="N32" s="9"/>
      <c r="O32" s="17"/>
      <c r="P32" s="18"/>
      <c r="Q32" s="18"/>
      <c r="R32" s="18"/>
      <c r="S32" s="16"/>
      <c r="T32" s="9"/>
      <c r="U32" s="17"/>
      <c r="V32" s="19"/>
      <c r="W32" s="19"/>
      <c r="X32" s="19"/>
      <c r="Y32" s="16"/>
      <c r="Z32" s="9"/>
      <c r="AA32" s="9"/>
      <c r="AB32" s="20" t="str">
        <f t="shared" si="0"/>
        <v/>
      </c>
      <c r="AC32" s="21">
        <f>IF(OR(T32&lt;&gt;"Yes",U32=""),0,U32*(V32+4*W32+X32)/6*IFERROR(INDEX(Methodology!$B$2:$B$20,MATCH(Z32,Methodology!$A$2:$A$20,0)),0))</f>
        <v>0</v>
      </c>
      <c r="AD32" s="20">
        <f t="shared" si="1"/>
        <v>0</v>
      </c>
      <c r="AE32" s="9"/>
    </row>
    <row r="33" spans="1:31" x14ac:dyDescent="0.35">
      <c r="A33" s="9"/>
      <c r="B33" s="9"/>
      <c r="C33" s="16"/>
      <c r="D33" s="9"/>
      <c r="E33" s="9"/>
      <c r="F33" s="9"/>
      <c r="G33" s="9"/>
      <c r="H33" s="9"/>
      <c r="I33" s="9"/>
      <c r="J33" s="9"/>
      <c r="K33" s="16"/>
      <c r="L33" s="16"/>
      <c r="M33" s="16"/>
      <c r="N33" s="9"/>
      <c r="O33" s="17"/>
      <c r="P33" s="18"/>
      <c r="Q33" s="18"/>
      <c r="R33" s="18"/>
      <c r="S33" s="16"/>
      <c r="T33" s="9"/>
      <c r="U33" s="17"/>
      <c r="V33" s="19"/>
      <c r="W33" s="19"/>
      <c r="X33" s="19"/>
      <c r="Y33" s="16"/>
      <c r="Z33" s="9"/>
      <c r="AA33" s="9"/>
      <c r="AB33" s="20" t="str">
        <f t="shared" si="0"/>
        <v/>
      </c>
      <c r="AC33" s="21">
        <f>IF(OR(T33&lt;&gt;"Yes",U33=""),0,U33*(V33+4*W33+X33)/6*IFERROR(INDEX(Methodology!$B$2:$B$20,MATCH(Z33,Methodology!$A$2:$A$20,0)),0))</f>
        <v>0</v>
      </c>
      <c r="AD33" s="20">
        <f t="shared" si="1"/>
        <v>0</v>
      </c>
      <c r="AE33" s="9"/>
    </row>
    <row r="34" spans="1:31" x14ac:dyDescent="0.35">
      <c r="A34" s="9"/>
      <c r="B34" s="9"/>
      <c r="C34" s="16"/>
      <c r="D34" s="9"/>
      <c r="E34" s="9"/>
      <c r="F34" s="9"/>
      <c r="G34" s="9"/>
      <c r="H34" s="9"/>
      <c r="I34" s="9"/>
      <c r="J34" s="9"/>
      <c r="K34" s="16"/>
      <c r="L34" s="16"/>
      <c r="M34" s="16"/>
      <c r="N34" s="9"/>
      <c r="O34" s="17"/>
      <c r="P34" s="18"/>
      <c r="Q34" s="18"/>
      <c r="R34" s="18"/>
      <c r="S34" s="16"/>
      <c r="T34" s="9"/>
      <c r="U34" s="17"/>
      <c r="V34" s="19"/>
      <c r="W34" s="19"/>
      <c r="X34" s="19"/>
      <c r="Y34" s="16"/>
      <c r="Z34" s="9"/>
      <c r="AA34" s="9"/>
      <c r="AB34" s="20" t="str">
        <f t="shared" si="0"/>
        <v/>
      </c>
      <c r="AC34" s="21">
        <f>IF(OR(T34&lt;&gt;"Yes",U34=""),0,U34*(V34+4*W34+X34)/6*IFERROR(INDEX(Methodology!$B$2:$B$20,MATCH(Z34,Methodology!$A$2:$A$20,0)),0))</f>
        <v>0</v>
      </c>
      <c r="AD34" s="20">
        <f t="shared" si="1"/>
        <v>0</v>
      </c>
      <c r="AE34" s="9"/>
    </row>
    <row r="35" spans="1:31" x14ac:dyDescent="0.35">
      <c r="A35" s="9"/>
      <c r="B35" s="9"/>
      <c r="C35" s="16"/>
      <c r="D35" s="9"/>
      <c r="E35" s="9"/>
      <c r="F35" s="9"/>
      <c r="G35" s="9"/>
      <c r="H35" s="9"/>
      <c r="I35" s="9"/>
      <c r="J35" s="9"/>
      <c r="K35" s="16"/>
      <c r="L35" s="16"/>
      <c r="M35" s="16"/>
      <c r="N35" s="9"/>
      <c r="O35" s="17"/>
      <c r="P35" s="18"/>
      <c r="Q35" s="18"/>
      <c r="R35" s="18"/>
      <c r="S35" s="16"/>
      <c r="T35" s="9"/>
      <c r="U35" s="17"/>
      <c r="V35" s="19"/>
      <c r="W35" s="19"/>
      <c r="X35" s="19"/>
      <c r="Y35" s="16"/>
      <c r="Z35" s="9"/>
      <c r="AA35" s="9"/>
      <c r="AB35" s="20" t="str">
        <f t="shared" si="0"/>
        <v/>
      </c>
      <c r="AC35" s="21">
        <f>IF(OR(T35&lt;&gt;"Yes",U35=""),0,U35*(V35+4*W35+X35)/6*IFERROR(INDEX(Methodology!$B$2:$B$20,MATCH(Z35,Methodology!$A$2:$A$20,0)),0))</f>
        <v>0</v>
      </c>
      <c r="AD35" s="20">
        <f t="shared" si="1"/>
        <v>0</v>
      </c>
      <c r="AE35" s="9"/>
    </row>
    <row r="36" spans="1:31" x14ac:dyDescent="0.35">
      <c r="A36" s="9"/>
      <c r="B36" s="9"/>
      <c r="C36" s="16"/>
      <c r="D36" s="9"/>
      <c r="E36" s="9"/>
      <c r="F36" s="9"/>
      <c r="G36" s="9"/>
      <c r="H36" s="9"/>
      <c r="I36" s="9"/>
      <c r="J36" s="9"/>
      <c r="K36" s="16"/>
      <c r="L36" s="16"/>
      <c r="M36" s="16"/>
      <c r="N36" s="9"/>
      <c r="O36" s="17"/>
      <c r="P36" s="18"/>
      <c r="Q36" s="18"/>
      <c r="R36" s="18"/>
      <c r="S36" s="16"/>
      <c r="T36" s="9"/>
      <c r="U36" s="17"/>
      <c r="V36" s="19"/>
      <c r="W36" s="19"/>
      <c r="X36" s="19"/>
      <c r="Y36" s="16"/>
      <c r="Z36" s="9"/>
      <c r="AA36" s="9"/>
      <c r="AB36" s="20" t="str">
        <f t="shared" si="0"/>
        <v/>
      </c>
      <c r="AC36" s="21">
        <f>IF(OR(T36&lt;&gt;"Yes",U36=""),0,U36*(V36+4*W36+X36)/6*IFERROR(INDEX(Methodology!$B$2:$B$20,MATCH(Z36,Methodology!$A$2:$A$20,0)),0))</f>
        <v>0</v>
      </c>
      <c r="AD36" s="20">
        <f t="shared" si="1"/>
        <v>0</v>
      </c>
      <c r="AE36" s="9"/>
    </row>
    <row r="37" spans="1:31" x14ac:dyDescent="0.35">
      <c r="A37" s="9"/>
      <c r="B37" s="9"/>
      <c r="C37" s="16"/>
      <c r="D37" s="9"/>
      <c r="E37" s="9"/>
      <c r="F37" s="9"/>
      <c r="G37" s="9"/>
      <c r="H37" s="9"/>
      <c r="I37" s="9"/>
      <c r="J37" s="9"/>
      <c r="K37" s="16"/>
      <c r="L37" s="16"/>
      <c r="M37" s="16"/>
      <c r="N37" s="9"/>
      <c r="O37" s="17"/>
      <c r="P37" s="18"/>
      <c r="Q37" s="18"/>
      <c r="R37" s="18"/>
      <c r="S37" s="16"/>
      <c r="T37" s="9"/>
      <c r="U37" s="17"/>
      <c r="V37" s="19"/>
      <c r="W37" s="19"/>
      <c r="X37" s="19"/>
      <c r="Y37" s="16"/>
      <c r="Z37" s="9"/>
      <c r="AA37" s="9"/>
      <c r="AB37" s="20" t="str">
        <f t="shared" si="0"/>
        <v/>
      </c>
      <c r="AC37" s="21">
        <f>IF(OR(T37&lt;&gt;"Yes",U37=""),0,U37*(V37+4*W37+X37)/6*IFERROR(INDEX(Methodology!$B$2:$B$20,MATCH(Z37,Methodology!$A$2:$A$20,0)),0))</f>
        <v>0</v>
      </c>
      <c r="AD37" s="20">
        <f t="shared" si="1"/>
        <v>0</v>
      </c>
      <c r="AE37" s="9"/>
    </row>
    <row r="38" spans="1:31" x14ac:dyDescent="0.35">
      <c r="A38" s="9"/>
      <c r="B38" s="9"/>
      <c r="C38" s="16"/>
      <c r="D38" s="9"/>
      <c r="E38" s="9"/>
      <c r="F38" s="9"/>
      <c r="G38" s="9"/>
      <c r="H38" s="9"/>
      <c r="I38" s="9"/>
      <c r="J38" s="9"/>
      <c r="K38" s="16"/>
      <c r="L38" s="16"/>
      <c r="M38" s="16"/>
      <c r="N38" s="9"/>
      <c r="O38" s="17"/>
      <c r="P38" s="18"/>
      <c r="Q38" s="18"/>
      <c r="R38" s="18"/>
      <c r="S38" s="16"/>
      <c r="T38" s="9"/>
      <c r="U38" s="17"/>
      <c r="V38" s="19"/>
      <c r="W38" s="19"/>
      <c r="X38" s="19"/>
      <c r="Y38" s="16"/>
      <c r="Z38" s="9"/>
      <c r="AA38" s="9"/>
      <c r="AB38" s="20" t="str">
        <f t="shared" si="0"/>
        <v/>
      </c>
      <c r="AC38" s="21">
        <f>IF(OR(T38&lt;&gt;"Yes",U38=""),0,U38*(V38+4*W38+X38)/6*IFERROR(INDEX(Methodology!$B$2:$B$20,MATCH(Z38,Methodology!$A$2:$A$20,0)),0))</f>
        <v>0</v>
      </c>
      <c r="AD38" s="20">
        <f t="shared" si="1"/>
        <v>0</v>
      </c>
      <c r="AE38" s="9"/>
    </row>
    <row r="39" spans="1:31" x14ac:dyDescent="0.35">
      <c r="A39" s="9"/>
      <c r="B39" s="9"/>
      <c r="C39" s="16"/>
      <c r="D39" s="9"/>
      <c r="E39" s="9"/>
      <c r="F39" s="9"/>
      <c r="G39" s="9"/>
      <c r="H39" s="9"/>
      <c r="I39" s="9"/>
      <c r="J39" s="9"/>
      <c r="K39" s="16"/>
      <c r="L39" s="16"/>
      <c r="M39" s="16"/>
      <c r="N39" s="9"/>
      <c r="O39" s="17"/>
      <c r="P39" s="18"/>
      <c r="Q39" s="18"/>
      <c r="R39" s="18"/>
      <c r="S39" s="16"/>
      <c r="T39" s="9"/>
      <c r="U39" s="17"/>
      <c r="V39" s="19"/>
      <c r="W39" s="19"/>
      <c r="X39" s="19"/>
      <c r="Y39" s="16"/>
      <c r="Z39" s="9"/>
      <c r="AA39" s="9"/>
      <c r="AB39" s="20" t="str">
        <f t="shared" si="0"/>
        <v/>
      </c>
      <c r="AC39" s="21">
        <f>IF(OR(T39&lt;&gt;"Yes",U39=""),0,U39*(V39+4*W39+X39)/6*IFERROR(INDEX(Methodology!$B$2:$B$20,MATCH(Z39,Methodology!$A$2:$A$20,0)),0))</f>
        <v>0</v>
      </c>
      <c r="AD39" s="20">
        <f t="shared" si="1"/>
        <v>0</v>
      </c>
      <c r="AE39" s="9"/>
    </row>
    <row r="40" spans="1:31" x14ac:dyDescent="0.35">
      <c r="A40" s="9"/>
      <c r="B40" s="9"/>
      <c r="C40" s="16"/>
      <c r="D40" s="9"/>
      <c r="E40" s="9"/>
      <c r="F40" s="9"/>
      <c r="G40" s="9"/>
      <c r="H40" s="9"/>
      <c r="I40" s="9"/>
      <c r="J40" s="9"/>
      <c r="K40" s="16"/>
      <c r="L40" s="16"/>
      <c r="M40" s="16"/>
      <c r="N40" s="9"/>
      <c r="O40" s="17"/>
      <c r="P40" s="18"/>
      <c r="Q40" s="18"/>
      <c r="R40" s="18"/>
      <c r="S40" s="16"/>
      <c r="T40" s="9"/>
      <c r="U40" s="17"/>
      <c r="V40" s="19"/>
      <c r="W40" s="19"/>
      <c r="X40" s="19"/>
      <c r="Y40" s="16"/>
      <c r="Z40" s="9"/>
      <c r="AA40" s="9"/>
      <c r="AB40" s="20" t="str">
        <f t="shared" si="0"/>
        <v/>
      </c>
      <c r="AC40" s="21">
        <f>IF(OR(T40&lt;&gt;"Yes",U40=""),0,U40*(V40+4*W40+X40)/6*IFERROR(INDEX(Methodology!$B$2:$B$20,MATCH(Z40,Methodology!$A$2:$A$20,0)),0))</f>
        <v>0</v>
      </c>
      <c r="AD40" s="20">
        <f t="shared" si="1"/>
        <v>0</v>
      </c>
      <c r="AE40" s="9"/>
    </row>
    <row r="41" spans="1:31" x14ac:dyDescent="0.35">
      <c r="A41" s="9"/>
      <c r="B41" s="9"/>
      <c r="C41" s="16"/>
      <c r="D41" s="9"/>
      <c r="E41" s="9"/>
      <c r="F41" s="9"/>
      <c r="G41" s="9"/>
      <c r="H41" s="9"/>
      <c r="I41" s="9"/>
      <c r="J41" s="9"/>
      <c r="K41" s="16"/>
      <c r="L41" s="16"/>
      <c r="M41" s="16"/>
      <c r="N41" s="9"/>
      <c r="O41" s="17"/>
      <c r="P41" s="18"/>
      <c r="Q41" s="18"/>
      <c r="R41" s="18"/>
      <c r="S41" s="16"/>
      <c r="T41" s="9"/>
      <c r="U41" s="17"/>
      <c r="V41" s="19"/>
      <c r="W41" s="19"/>
      <c r="X41" s="19"/>
      <c r="Y41" s="16"/>
      <c r="Z41" s="9"/>
      <c r="AA41" s="9"/>
      <c r="AB41" s="20" t="str">
        <f t="shared" si="0"/>
        <v/>
      </c>
      <c r="AC41" s="21">
        <f>IF(OR(T41&lt;&gt;"Yes",U41=""),0,U41*(V41+4*W41+X41)/6*IFERROR(INDEX(Methodology!$B$2:$B$20,MATCH(Z41,Methodology!$A$2:$A$20,0)),0))</f>
        <v>0</v>
      </c>
      <c r="AD41" s="20">
        <f t="shared" si="1"/>
        <v>0</v>
      </c>
      <c r="AE41" s="9"/>
    </row>
    <row r="42" spans="1:31" x14ac:dyDescent="0.35">
      <c r="A42" s="9"/>
      <c r="B42" s="9"/>
      <c r="C42" s="16"/>
      <c r="D42" s="9"/>
      <c r="E42" s="9"/>
      <c r="F42" s="9"/>
      <c r="G42" s="9"/>
      <c r="H42" s="9"/>
      <c r="I42" s="9"/>
      <c r="J42" s="9"/>
      <c r="K42" s="16"/>
      <c r="L42" s="16"/>
      <c r="M42" s="16"/>
      <c r="N42" s="9"/>
      <c r="O42" s="17"/>
      <c r="P42" s="18"/>
      <c r="Q42" s="18"/>
      <c r="R42" s="18"/>
      <c r="S42" s="16"/>
      <c r="T42" s="9"/>
      <c r="U42" s="17"/>
      <c r="V42" s="19"/>
      <c r="W42" s="19"/>
      <c r="X42" s="19"/>
      <c r="Y42" s="16"/>
      <c r="Z42" s="9"/>
      <c r="AA42" s="9"/>
      <c r="AB42" s="20" t="str">
        <f t="shared" si="0"/>
        <v/>
      </c>
      <c r="AC42" s="21">
        <f>IF(OR(T42&lt;&gt;"Yes",U42=""),0,U42*(V42+4*W42+X42)/6*IFERROR(INDEX(Methodology!$B$2:$B$20,MATCH(Z42,Methodology!$A$2:$A$20,0)),0))</f>
        <v>0</v>
      </c>
      <c r="AD42" s="20">
        <f t="shared" si="1"/>
        <v>0</v>
      </c>
      <c r="AE42" s="9"/>
    </row>
    <row r="43" spans="1:31" x14ac:dyDescent="0.35">
      <c r="A43" s="9"/>
      <c r="B43" s="9"/>
      <c r="C43" s="16"/>
      <c r="D43" s="9"/>
      <c r="E43" s="9"/>
      <c r="F43" s="9"/>
      <c r="G43" s="9"/>
      <c r="H43" s="9"/>
      <c r="I43" s="9"/>
      <c r="J43" s="9"/>
      <c r="K43" s="16"/>
      <c r="L43" s="16"/>
      <c r="M43" s="16"/>
      <c r="N43" s="9"/>
      <c r="O43" s="17"/>
      <c r="P43" s="18"/>
      <c r="Q43" s="18"/>
      <c r="R43" s="18"/>
      <c r="S43" s="16"/>
      <c r="T43" s="9"/>
      <c r="U43" s="17"/>
      <c r="V43" s="19"/>
      <c r="W43" s="19"/>
      <c r="X43" s="19"/>
      <c r="Y43" s="16"/>
      <c r="Z43" s="9"/>
      <c r="AA43" s="9"/>
      <c r="AB43" s="20" t="str">
        <f t="shared" si="0"/>
        <v/>
      </c>
      <c r="AC43" s="21">
        <f>IF(OR(T43&lt;&gt;"Yes",U43=""),0,U43*(V43+4*W43+X43)/6*IFERROR(INDEX(Methodology!$B$2:$B$20,MATCH(Z43,Methodology!$A$2:$A$20,0)),0))</f>
        <v>0</v>
      </c>
      <c r="AD43" s="20">
        <f t="shared" si="1"/>
        <v>0</v>
      </c>
      <c r="AE43" s="9"/>
    </row>
    <row r="44" spans="1:31" x14ac:dyDescent="0.35">
      <c r="A44" s="9"/>
      <c r="B44" s="9"/>
      <c r="C44" s="16"/>
      <c r="D44" s="9"/>
      <c r="E44" s="9"/>
      <c r="F44" s="9"/>
      <c r="G44" s="9"/>
      <c r="H44" s="9"/>
      <c r="I44" s="9"/>
      <c r="J44" s="9"/>
      <c r="K44" s="16"/>
      <c r="L44" s="16"/>
      <c r="M44" s="16"/>
      <c r="N44" s="9"/>
      <c r="O44" s="17"/>
      <c r="P44" s="18"/>
      <c r="Q44" s="18"/>
      <c r="R44" s="18"/>
      <c r="S44" s="16"/>
      <c r="T44" s="9"/>
      <c r="U44" s="17"/>
      <c r="V44" s="19"/>
      <c r="W44" s="19"/>
      <c r="X44" s="19"/>
      <c r="Y44" s="16"/>
      <c r="Z44" s="9"/>
      <c r="AA44" s="9"/>
      <c r="AB44" s="20" t="str">
        <f t="shared" si="0"/>
        <v/>
      </c>
      <c r="AC44" s="21">
        <f>IF(OR(T44&lt;&gt;"Yes",U44=""),0,U44*(V44+4*W44+X44)/6*IFERROR(INDEX(Methodology!$B$2:$B$20,MATCH(Z44,Methodology!$A$2:$A$20,0)),0))</f>
        <v>0</v>
      </c>
      <c r="AD44" s="20">
        <f t="shared" si="1"/>
        <v>0</v>
      </c>
      <c r="AE44" s="9"/>
    </row>
  </sheetData>
  <sheetProtection sheet="1" sort="0" autoFilter="0"/>
  <autoFilter ref="A4:AE44" xr:uid="{00000000-0009-0000-0000-000001000000}"/>
  <conditionalFormatting sqref="H5:H44">
    <cfRule type="expression" dxfId="0" priority="1">
      <formula>AND($G5="Yes",H5="")</formula>
    </cfRule>
  </conditionalFormatting>
  <dataValidations count="9">
    <dataValidation type="list" allowBlank="1" errorTitle="Invalid Distribution" error="Choose a value from the Distribution cascade list (edit it on the Lists tab)." sqref="H5:H44" xr:uid="{00000000-0002-0000-0100-000000000000}">
      <formula1>List_Distribution</formula1>
    </dataValidation>
    <dataValidation type="list" allowBlank="1" errorTitle="Invalid MCInclude" error="Choose a value from the MCInclude cascade list (edit it on the Lists tab)." sqref="G5:G44" xr:uid="{00000000-0002-0000-0100-000001000000}">
      <formula1>List_MCInclude</formula1>
    </dataValidation>
    <dataValidation type="list" allowBlank="1" errorTitle="Invalid TimeImpact" error="Choose a value from the TimeImpact cascade list (edit it on the Lists tab)." sqref="T5:T44" xr:uid="{00000000-0002-0000-0100-000002000000}">
      <formula1>List_TimeImpact</formula1>
    </dataValidation>
    <dataValidation type="list" allowBlank="1" errorTitle="Invalid Recurrence" error="Choose a value from the Recurrence cascade list (edit it on the Lists tab)." sqref="J5:J44" xr:uid="{00000000-0002-0000-0100-000003000000}">
      <formula1>List_Recurrence</formula1>
    </dataValidation>
    <dataValidation type="list" allowBlank="1" errorTitle="Invalid Mode" error="Choose a value from the Mode cascade list (edit it on the Lists tab)." sqref="Z5:Z44" xr:uid="{00000000-0002-0000-0100-000004000000}">
      <formula1>List_Mode</formula1>
    </dataValidation>
    <dataValidation type="list" allowBlank="1" errorTitle="Invalid CGCode" error="Choose a value from the CGCode cascade list (edit it on the Lists tab)." sqref="I5:I44" xr:uid="{00000000-0002-0000-0100-000005000000}">
      <formula1>List_CGCode</formula1>
    </dataValidation>
    <dataValidation type="list" allowBlank="1" errorTitle="Invalid RBS_L1" error="Choose a value from the RBS_L1 cascade list (edit it on the Lists tab)." sqref="E5:E44" xr:uid="{00000000-0002-0000-0100-000006000000}">
      <formula1>List_RBS_L1</formula1>
    </dataValidation>
    <dataValidation type="list" allowBlank="1" errorTitle="Invalid RBS_L2" error="Choose a value from the RBS_L2 cascade list (edit it on the Lists tab)." sqref="F5:F44" xr:uid="{00000000-0002-0000-0100-000007000000}">
      <formula1>List_RBS_L2</formula1>
    </dataValidation>
    <dataValidation type="list" allowBlank="1" errorTitle="Invalid Package" error="Choose a value from the Package cascade list (edit it on the Lists tab)." sqref="D5:D44" xr:uid="{00000000-0002-0000-0100-000008000000}">
      <formula1>List_Package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J6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0" width="18" customWidth="1"/>
  </cols>
  <sheetData>
    <row r="1" spans="1:10" x14ac:dyDescent="0.35">
      <c r="A1" t="s">
        <v>127</v>
      </c>
    </row>
    <row r="2" spans="1:10" x14ac:dyDescent="0.35">
      <c r="A2" s="22" t="s">
        <v>92</v>
      </c>
      <c r="B2" s="22" t="s">
        <v>128</v>
      </c>
      <c r="C2" s="22" t="s">
        <v>129</v>
      </c>
      <c r="D2" s="22" t="s">
        <v>130</v>
      </c>
      <c r="E2" s="22" t="s">
        <v>109</v>
      </c>
      <c r="F2" s="22" t="s">
        <v>131</v>
      </c>
      <c r="G2" s="22" t="s">
        <v>132</v>
      </c>
      <c r="H2" s="22" t="s">
        <v>133</v>
      </c>
      <c r="I2" s="22" t="s">
        <v>88</v>
      </c>
      <c r="J2" s="22" t="s">
        <v>134</v>
      </c>
    </row>
    <row r="3" spans="1:10" x14ac:dyDescent="0.35">
      <c r="A3" s="23" t="s">
        <v>135</v>
      </c>
      <c r="B3" s="23" t="s">
        <v>117</v>
      </c>
      <c r="C3" s="23" t="s">
        <v>117</v>
      </c>
      <c r="D3" s="23" t="s">
        <v>136</v>
      </c>
      <c r="E3" s="23" t="s">
        <v>118</v>
      </c>
      <c r="F3" s="23" t="s">
        <v>137</v>
      </c>
      <c r="G3" s="23" t="s">
        <v>138</v>
      </c>
      <c r="H3" s="23" t="s">
        <v>139</v>
      </c>
      <c r="I3" s="23" t="s">
        <v>140</v>
      </c>
      <c r="J3" s="23" t="s">
        <v>141</v>
      </c>
    </row>
    <row r="4" spans="1:10" x14ac:dyDescent="0.35">
      <c r="A4" s="23" t="s">
        <v>142</v>
      </c>
      <c r="B4" s="23" t="s">
        <v>126</v>
      </c>
      <c r="C4" s="23" t="s">
        <v>126</v>
      </c>
      <c r="D4" s="23" t="s">
        <v>143</v>
      </c>
      <c r="E4" s="23" t="s">
        <v>120</v>
      </c>
      <c r="F4" s="23" t="s">
        <v>144</v>
      </c>
      <c r="G4" s="23" t="s">
        <v>145</v>
      </c>
      <c r="H4" s="23" t="s">
        <v>146</v>
      </c>
      <c r="I4" s="23" t="s">
        <v>147</v>
      </c>
      <c r="J4" s="23" t="s">
        <v>148</v>
      </c>
    </row>
    <row r="5" spans="1:10" x14ac:dyDescent="0.35">
      <c r="A5" s="23" t="s">
        <v>149</v>
      </c>
      <c r="B5" s="23"/>
      <c r="C5" s="23"/>
      <c r="D5" s="23" t="s">
        <v>150</v>
      </c>
      <c r="E5" s="23" t="s">
        <v>122</v>
      </c>
      <c r="F5" s="23" t="s">
        <v>151</v>
      </c>
      <c r="G5" s="23" t="s">
        <v>152</v>
      </c>
      <c r="H5" s="23" t="s">
        <v>153</v>
      </c>
      <c r="I5" s="23" t="s">
        <v>154</v>
      </c>
      <c r="J5" s="23" t="s">
        <v>155</v>
      </c>
    </row>
    <row r="6" spans="1:10" x14ac:dyDescent="0.35">
      <c r="A6" s="23" t="s">
        <v>156</v>
      </c>
      <c r="B6" s="23"/>
      <c r="C6" s="23"/>
      <c r="D6" s="23"/>
      <c r="E6" s="23"/>
      <c r="F6" s="23" t="s">
        <v>157</v>
      </c>
      <c r="G6" s="23" t="s">
        <v>158</v>
      </c>
      <c r="H6" s="23" t="s">
        <v>159</v>
      </c>
      <c r="I6" s="23" t="s">
        <v>160</v>
      </c>
      <c r="J6" s="23" t="s">
        <v>161</v>
      </c>
    </row>
    <row r="7" spans="1:10" x14ac:dyDescent="0.35">
      <c r="A7" s="23" t="s">
        <v>162</v>
      </c>
      <c r="B7" s="23"/>
      <c r="C7" s="23"/>
      <c r="D7" s="23"/>
      <c r="E7" s="23"/>
      <c r="F7" s="23" t="s">
        <v>163</v>
      </c>
      <c r="G7" s="23" t="s">
        <v>164</v>
      </c>
      <c r="H7" s="23" t="s">
        <v>165</v>
      </c>
      <c r="I7" s="23" t="s">
        <v>166</v>
      </c>
      <c r="J7" s="23" t="s">
        <v>167</v>
      </c>
    </row>
    <row r="8" spans="1:10" x14ac:dyDescent="0.35">
      <c r="A8" s="23"/>
      <c r="B8" s="23"/>
      <c r="C8" s="23"/>
      <c r="D8" s="23"/>
      <c r="E8" s="23"/>
      <c r="F8" s="23" t="s">
        <v>168</v>
      </c>
      <c r="G8" s="23" t="s">
        <v>169</v>
      </c>
      <c r="H8" s="23" t="s">
        <v>170</v>
      </c>
      <c r="I8" s="23" t="s">
        <v>171</v>
      </c>
      <c r="J8" s="23" t="s">
        <v>172</v>
      </c>
    </row>
    <row r="9" spans="1:10" x14ac:dyDescent="0.35">
      <c r="A9" s="23"/>
      <c r="B9" s="23"/>
      <c r="C9" s="23"/>
      <c r="D9" s="23"/>
      <c r="E9" s="23"/>
      <c r="F9" s="23" t="s">
        <v>173</v>
      </c>
      <c r="G9" s="23"/>
      <c r="H9" s="23" t="s">
        <v>174</v>
      </c>
      <c r="I9" s="23" t="s">
        <v>175</v>
      </c>
      <c r="J9" s="23" t="s">
        <v>176</v>
      </c>
    </row>
    <row r="10" spans="1:10" x14ac:dyDescent="0.35">
      <c r="A10" s="23"/>
      <c r="B10" s="23"/>
      <c r="C10" s="23"/>
      <c r="D10" s="23"/>
      <c r="E10" s="23"/>
      <c r="F10" s="23" t="s">
        <v>177</v>
      </c>
      <c r="G10" s="23"/>
      <c r="H10" s="23" t="s">
        <v>175</v>
      </c>
      <c r="I10" s="23" t="s">
        <v>152</v>
      </c>
      <c r="J10" s="23"/>
    </row>
    <row r="11" spans="1:10" x14ac:dyDescent="0.35">
      <c r="A11" s="23"/>
      <c r="B11" s="23"/>
      <c r="C11" s="23"/>
      <c r="D11" s="23"/>
      <c r="E11" s="23"/>
      <c r="F11" s="23" t="s">
        <v>178</v>
      </c>
      <c r="G11" s="23"/>
      <c r="H11" s="23"/>
      <c r="I11" s="23"/>
      <c r="J11" s="23"/>
    </row>
    <row r="12" spans="1:10" x14ac:dyDescent="0.35">
      <c r="A12" s="23"/>
      <c r="B12" s="23"/>
      <c r="C12" s="23"/>
      <c r="D12" s="23"/>
      <c r="E12" s="23"/>
      <c r="F12" s="23" t="s">
        <v>179</v>
      </c>
      <c r="G12" s="23"/>
      <c r="H12" s="23"/>
      <c r="I12" s="23"/>
      <c r="J12" s="23"/>
    </row>
    <row r="13" spans="1:10" x14ac:dyDescent="0.35">
      <c r="A13" s="23"/>
      <c r="B13" s="23"/>
      <c r="C13" s="23"/>
      <c r="D13" s="23"/>
      <c r="E13" s="23"/>
      <c r="F13" s="23" t="s">
        <v>180</v>
      </c>
      <c r="G13" s="23"/>
      <c r="H13" s="23"/>
      <c r="I13" s="23"/>
      <c r="J13" s="23"/>
    </row>
    <row r="14" spans="1:10" x14ac:dyDescent="0.35">
      <c r="A14" s="23"/>
      <c r="B14" s="23"/>
      <c r="C14" s="23"/>
      <c r="D14" s="23"/>
      <c r="E14" s="23"/>
      <c r="F14" s="23" t="s">
        <v>181</v>
      </c>
      <c r="G14" s="23"/>
      <c r="H14" s="23"/>
      <c r="I14" s="23"/>
      <c r="J14" s="23"/>
    </row>
    <row r="15" spans="1:10" x14ac:dyDescent="0.35">
      <c r="A15" s="23"/>
      <c r="B15" s="23"/>
      <c r="C15" s="23"/>
      <c r="D15" s="23"/>
      <c r="E15" s="23"/>
      <c r="F15" s="23" t="s">
        <v>182</v>
      </c>
      <c r="G15" s="23"/>
      <c r="H15" s="23"/>
      <c r="I15" s="23"/>
      <c r="J15" s="23"/>
    </row>
    <row r="16" spans="1:10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0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0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spans="1:10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spans="1:10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spans="1:10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spans="1:10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0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0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35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35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35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35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3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35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35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35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35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35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35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35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 x14ac:dyDescent="0.35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35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 x14ac:dyDescent="0.35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 x14ac:dyDescent="0.35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x14ac:dyDescent="0.35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spans="1:10" x14ac:dyDescent="0.35">
      <c r="A60" s="23"/>
      <c r="B60" s="23"/>
      <c r="C60" s="23"/>
      <c r="D60" s="23"/>
      <c r="E60" s="23"/>
      <c r="F60" s="23"/>
      <c r="G60" s="23"/>
      <c r="H60" s="23"/>
      <c r="I60" s="23"/>
      <c r="J60" s="23"/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F46"/>
  <sheetViews>
    <sheetView workbookViewId="0">
      <pane ySplit="6" topLeftCell="A7" activePane="bottomLeft" state="frozen"/>
      <selection pane="bottomLeft"/>
    </sheetView>
  </sheetViews>
  <sheetFormatPr defaultRowHeight="14.5" x14ac:dyDescent="0.35"/>
  <sheetData>
    <row r="1" spans="1:6" x14ac:dyDescent="0.35">
      <c r="A1" s="10" t="s">
        <v>183</v>
      </c>
      <c r="B1" s="8"/>
      <c r="C1" s="8"/>
      <c r="D1" s="8"/>
      <c r="E1" s="8"/>
      <c r="F1" s="8"/>
    </row>
    <row r="2" spans="1:6" x14ac:dyDescent="0.35">
      <c r="A2" s="10" t="s">
        <v>184</v>
      </c>
      <c r="B2" s="8"/>
      <c r="C2" s="8"/>
      <c r="D2" s="8"/>
      <c r="E2" s="8"/>
      <c r="F2" s="8"/>
    </row>
    <row r="3" spans="1:6" x14ac:dyDescent="0.35">
      <c r="A3" s="10" t="s">
        <v>185</v>
      </c>
      <c r="B3" s="8"/>
      <c r="C3" s="8"/>
      <c r="D3" s="8"/>
      <c r="E3" s="8"/>
      <c r="F3" s="8"/>
    </row>
    <row r="4" spans="1:6" x14ac:dyDescent="0.35">
      <c r="A4" s="10" t="s">
        <v>186</v>
      </c>
      <c r="B4" s="8"/>
      <c r="C4" s="8"/>
      <c r="D4" s="8"/>
      <c r="E4" s="8"/>
      <c r="F4" s="8"/>
    </row>
    <row r="5" spans="1:6" x14ac:dyDescent="0.35">
      <c r="A5" s="8"/>
      <c r="B5" s="8"/>
      <c r="C5" s="8"/>
      <c r="D5" s="8"/>
      <c r="E5" s="8"/>
      <c r="F5" s="8"/>
    </row>
    <row r="6" spans="1:6" x14ac:dyDescent="0.35">
      <c r="A6" s="24" t="s">
        <v>85</v>
      </c>
      <c r="B6" s="24" t="s">
        <v>187</v>
      </c>
      <c r="C6" s="24" t="s">
        <v>188</v>
      </c>
      <c r="D6" s="24" t="s">
        <v>189</v>
      </c>
      <c r="E6" s="24" t="s">
        <v>190</v>
      </c>
      <c r="F6" s="24" t="s">
        <v>191</v>
      </c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9"/>
      <c r="B8" s="9"/>
      <c r="C8" s="9"/>
      <c r="D8" s="9"/>
      <c r="E8" s="9"/>
      <c r="F8" s="9"/>
    </row>
    <row r="9" spans="1:6" x14ac:dyDescent="0.35">
      <c r="A9" s="9"/>
      <c r="B9" s="9"/>
      <c r="C9" s="9"/>
      <c r="D9" s="9"/>
      <c r="E9" s="9"/>
      <c r="F9" s="9"/>
    </row>
    <row r="10" spans="1:6" x14ac:dyDescent="0.35">
      <c r="A10" s="9"/>
      <c r="B10" s="9"/>
      <c r="C10" s="9"/>
      <c r="D10" s="9"/>
      <c r="E10" s="9"/>
      <c r="F10" s="9"/>
    </row>
    <row r="11" spans="1:6" x14ac:dyDescent="0.35">
      <c r="A11" s="9"/>
      <c r="B11" s="9"/>
      <c r="C11" s="9"/>
      <c r="D11" s="9"/>
      <c r="E11" s="9"/>
      <c r="F11" s="9"/>
    </row>
    <row r="12" spans="1:6" x14ac:dyDescent="0.35">
      <c r="A12" s="9"/>
      <c r="B12" s="9"/>
      <c r="C12" s="9"/>
      <c r="D12" s="9"/>
      <c r="E12" s="9"/>
      <c r="F12" s="9"/>
    </row>
    <row r="13" spans="1:6" x14ac:dyDescent="0.35">
      <c r="A13" s="9"/>
      <c r="B13" s="9"/>
      <c r="C13" s="9"/>
      <c r="D13" s="9"/>
      <c r="E13" s="9"/>
      <c r="F13" s="9"/>
    </row>
    <row r="14" spans="1:6" x14ac:dyDescent="0.35">
      <c r="A14" s="9"/>
      <c r="B14" s="9"/>
      <c r="C14" s="9"/>
      <c r="D14" s="9"/>
      <c r="E14" s="9"/>
      <c r="F14" s="9"/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9"/>
      <c r="B18" s="9"/>
      <c r="C18" s="9"/>
      <c r="D18" s="9"/>
      <c r="E18" s="9"/>
      <c r="F18" s="9"/>
    </row>
    <row r="19" spans="1:6" x14ac:dyDescent="0.35">
      <c r="A19" s="9"/>
      <c r="B19" s="9"/>
      <c r="C19" s="9"/>
      <c r="D19" s="9"/>
      <c r="E19" s="9"/>
      <c r="F19" s="9"/>
    </row>
    <row r="20" spans="1:6" x14ac:dyDescent="0.35">
      <c r="A20" s="9"/>
      <c r="B20" s="9"/>
      <c r="C20" s="9"/>
      <c r="D20" s="9"/>
      <c r="E20" s="9"/>
      <c r="F20" s="9"/>
    </row>
    <row r="21" spans="1:6" x14ac:dyDescent="0.35">
      <c r="A21" s="9"/>
      <c r="B21" s="9"/>
      <c r="C21" s="9"/>
      <c r="D21" s="9"/>
      <c r="E21" s="9"/>
      <c r="F21" s="9"/>
    </row>
    <row r="22" spans="1:6" x14ac:dyDescent="0.35">
      <c r="A22" s="9"/>
      <c r="B22" s="9"/>
      <c r="C22" s="9"/>
      <c r="D22" s="9"/>
      <c r="E22" s="9"/>
      <c r="F22" s="9"/>
    </row>
    <row r="23" spans="1:6" x14ac:dyDescent="0.35">
      <c r="A23" s="9"/>
      <c r="B23" s="9"/>
      <c r="C23" s="9"/>
      <c r="D23" s="9"/>
      <c r="E23" s="9"/>
      <c r="F23" s="9"/>
    </row>
    <row r="24" spans="1:6" x14ac:dyDescent="0.35">
      <c r="A24" s="9"/>
      <c r="B24" s="9"/>
      <c r="C24" s="9"/>
      <c r="D24" s="9"/>
      <c r="E24" s="9"/>
      <c r="F24" s="9"/>
    </row>
    <row r="25" spans="1:6" x14ac:dyDescent="0.35">
      <c r="A25" s="9"/>
      <c r="B25" s="9"/>
      <c r="C25" s="9"/>
      <c r="D25" s="9"/>
      <c r="E25" s="9"/>
      <c r="F25" s="9"/>
    </row>
    <row r="26" spans="1:6" x14ac:dyDescent="0.35">
      <c r="A26" s="9"/>
      <c r="B26" s="9"/>
      <c r="C26" s="9"/>
      <c r="D26" s="9"/>
      <c r="E26" s="9"/>
      <c r="F26" s="9"/>
    </row>
    <row r="27" spans="1:6" x14ac:dyDescent="0.35">
      <c r="A27" s="9"/>
      <c r="B27" s="9"/>
      <c r="C27" s="9"/>
      <c r="D27" s="9"/>
      <c r="E27" s="9"/>
      <c r="F27" s="9"/>
    </row>
    <row r="28" spans="1:6" x14ac:dyDescent="0.35">
      <c r="A28" s="9"/>
      <c r="B28" s="9"/>
      <c r="C28" s="9"/>
      <c r="D28" s="9"/>
      <c r="E28" s="9"/>
      <c r="F28" s="9"/>
    </row>
    <row r="29" spans="1:6" x14ac:dyDescent="0.35">
      <c r="A29" s="9"/>
      <c r="B29" s="9"/>
      <c r="C29" s="9"/>
      <c r="D29" s="9"/>
      <c r="E29" s="9"/>
      <c r="F29" s="9"/>
    </row>
    <row r="30" spans="1:6" x14ac:dyDescent="0.35">
      <c r="A30" s="9"/>
      <c r="B30" s="9"/>
      <c r="C30" s="9"/>
      <c r="D30" s="9"/>
      <c r="E30" s="9"/>
      <c r="F30" s="9"/>
    </row>
    <row r="31" spans="1:6" x14ac:dyDescent="0.35">
      <c r="A31" s="9"/>
      <c r="B31" s="9"/>
      <c r="C31" s="9"/>
      <c r="D31" s="9"/>
      <c r="E31" s="9"/>
      <c r="F31" s="9"/>
    </row>
    <row r="32" spans="1:6" x14ac:dyDescent="0.35">
      <c r="A32" s="9"/>
      <c r="B32" s="9"/>
      <c r="C32" s="9"/>
      <c r="D32" s="9"/>
      <c r="E32" s="9"/>
      <c r="F32" s="9"/>
    </row>
    <row r="33" spans="1:6" x14ac:dyDescent="0.35">
      <c r="A33" s="9"/>
      <c r="B33" s="9"/>
      <c r="C33" s="9"/>
      <c r="D33" s="9"/>
      <c r="E33" s="9"/>
      <c r="F33" s="9"/>
    </row>
    <row r="34" spans="1:6" x14ac:dyDescent="0.35">
      <c r="A34" s="9"/>
      <c r="B34" s="9"/>
      <c r="C34" s="9"/>
      <c r="D34" s="9"/>
      <c r="E34" s="9"/>
      <c r="F34" s="9"/>
    </row>
    <row r="35" spans="1:6" x14ac:dyDescent="0.35">
      <c r="A35" s="9"/>
      <c r="B35" s="9"/>
      <c r="C35" s="9"/>
      <c r="D35" s="9"/>
      <c r="E35" s="9"/>
      <c r="F35" s="9"/>
    </row>
    <row r="36" spans="1:6" x14ac:dyDescent="0.35">
      <c r="A36" s="9"/>
      <c r="B36" s="9"/>
      <c r="C36" s="9"/>
      <c r="D36" s="9"/>
      <c r="E36" s="9"/>
      <c r="F36" s="9"/>
    </row>
    <row r="37" spans="1:6" x14ac:dyDescent="0.35">
      <c r="A37" s="9"/>
      <c r="B37" s="9"/>
      <c r="C37" s="9"/>
      <c r="D37" s="9"/>
      <c r="E37" s="9"/>
      <c r="F37" s="9"/>
    </row>
    <row r="38" spans="1:6" x14ac:dyDescent="0.35">
      <c r="A38" s="9"/>
      <c r="B38" s="9"/>
      <c r="C38" s="9"/>
      <c r="D38" s="9"/>
      <c r="E38" s="9"/>
      <c r="F38" s="9"/>
    </row>
    <row r="39" spans="1:6" x14ac:dyDescent="0.35">
      <c r="A39" s="9"/>
      <c r="B39" s="9"/>
      <c r="C39" s="9"/>
      <c r="D39" s="9"/>
      <c r="E39" s="9"/>
      <c r="F39" s="9"/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x14ac:dyDescent="0.35">
      <c r="A43" s="9"/>
      <c r="B43" s="9"/>
      <c r="C43" s="9"/>
      <c r="D43" s="9"/>
      <c r="E43" s="9"/>
      <c r="F43" s="9"/>
    </row>
    <row r="44" spans="1:6" x14ac:dyDescent="0.35">
      <c r="A44" s="9"/>
      <c r="B44" s="9"/>
      <c r="C44" s="9"/>
      <c r="D44" s="9"/>
      <c r="E44" s="9"/>
      <c r="F44" s="9"/>
    </row>
    <row r="45" spans="1:6" x14ac:dyDescent="0.35">
      <c r="A45" s="9"/>
      <c r="B45" s="9"/>
      <c r="C45" s="9"/>
      <c r="D45" s="9"/>
      <c r="E45" s="9"/>
      <c r="F45" s="9"/>
    </row>
    <row r="46" spans="1:6" x14ac:dyDescent="0.35">
      <c r="A46" s="9"/>
      <c r="B46" s="9"/>
      <c r="C46" s="9"/>
      <c r="D46" s="9"/>
      <c r="E46" s="9"/>
      <c r="F46" s="9"/>
    </row>
  </sheetData>
  <sheetProtection sheet="1" insertRows="0" sort="0" autoFilter="0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H44"/>
  <sheetViews>
    <sheetView workbookViewId="0">
      <pane ySplit="4" topLeftCell="A5" activePane="bottomLeft" state="frozen"/>
      <selection pane="bottomLeft"/>
    </sheetView>
  </sheetViews>
  <sheetFormatPr defaultRowHeight="14.5" x14ac:dyDescent="0.35"/>
  <sheetData>
    <row r="1" spans="1:8" x14ac:dyDescent="0.35">
      <c r="A1" s="2" t="s">
        <v>192</v>
      </c>
    </row>
    <row r="2" spans="1:8" x14ac:dyDescent="0.35">
      <c r="A2" s="2" t="s">
        <v>193</v>
      </c>
    </row>
    <row r="4" spans="1:8" x14ac:dyDescent="0.35">
      <c r="A4" s="25" t="s">
        <v>187</v>
      </c>
      <c r="B4" s="25" t="s">
        <v>194</v>
      </c>
      <c r="C4" s="25" t="s">
        <v>188</v>
      </c>
      <c r="D4" s="25" t="s">
        <v>195</v>
      </c>
      <c r="E4" s="25" t="s">
        <v>196</v>
      </c>
      <c r="F4" s="25" t="s">
        <v>197</v>
      </c>
      <c r="G4" s="25" t="s">
        <v>198</v>
      </c>
      <c r="H4" s="25" t="s">
        <v>199</v>
      </c>
    </row>
    <row r="5" spans="1:8" x14ac:dyDescent="0.35">
      <c r="A5" s="23"/>
      <c r="B5" s="23"/>
      <c r="C5" s="23"/>
      <c r="D5" s="23"/>
      <c r="E5" s="23"/>
      <c r="F5" s="23"/>
      <c r="G5" s="23"/>
      <c r="H5" s="23"/>
    </row>
    <row r="6" spans="1:8" x14ac:dyDescent="0.35">
      <c r="A6" s="23"/>
      <c r="B6" s="23"/>
      <c r="C6" s="23"/>
      <c r="D6" s="23"/>
      <c r="E6" s="23"/>
      <c r="F6" s="23"/>
      <c r="G6" s="23"/>
      <c r="H6" s="23"/>
    </row>
    <row r="7" spans="1:8" x14ac:dyDescent="0.35">
      <c r="A7" s="23"/>
      <c r="B7" s="23"/>
      <c r="C7" s="23"/>
      <c r="D7" s="23"/>
      <c r="E7" s="23"/>
      <c r="F7" s="23"/>
      <c r="G7" s="23"/>
      <c r="H7" s="23"/>
    </row>
    <row r="8" spans="1:8" x14ac:dyDescent="0.35">
      <c r="A8" s="23"/>
      <c r="B8" s="23"/>
      <c r="C8" s="23"/>
      <c r="D8" s="23"/>
      <c r="E8" s="23"/>
      <c r="F8" s="23"/>
      <c r="G8" s="23"/>
      <c r="H8" s="23"/>
    </row>
    <row r="9" spans="1:8" x14ac:dyDescent="0.35">
      <c r="A9" s="23"/>
      <c r="B9" s="23"/>
      <c r="C9" s="23"/>
      <c r="D9" s="23"/>
      <c r="E9" s="23"/>
      <c r="F9" s="23"/>
      <c r="G9" s="23"/>
      <c r="H9" s="23"/>
    </row>
    <row r="10" spans="1:8" x14ac:dyDescent="0.35">
      <c r="A10" s="23"/>
      <c r="B10" s="23"/>
      <c r="C10" s="23"/>
      <c r="D10" s="23"/>
      <c r="E10" s="23"/>
      <c r="F10" s="23"/>
      <c r="G10" s="23"/>
      <c r="H10" s="23"/>
    </row>
    <row r="11" spans="1:8" x14ac:dyDescent="0.35">
      <c r="A11" s="23"/>
      <c r="B11" s="23"/>
      <c r="C11" s="23"/>
      <c r="D11" s="23"/>
      <c r="E11" s="23"/>
      <c r="F11" s="23"/>
      <c r="G11" s="23"/>
      <c r="H11" s="23"/>
    </row>
    <row r="12" spans="1:8" x14ac:dyDescent="0.35">
      <c r="A12" s="23"/>
      <c r="B12" s="23"/>
      <c r="C12" s="23"/>
      <c r="D12" s="23"/>
      <c r="E12" s="23"/>
      <c r="F12" s="23"/>
      <c r="G12" s="23"/>
      <c r="H12" s="23"/>
    </row>
    <row r="13" spans="1:8" x14ac:dyDescent="0.35">
      <c r="A13" s="23"/>
      <c r="B13" s="23"/>
      <c r="C13" s="23"/>
      <c r="D13" s="23"/>
      <c r="E13" s="23"/>
      <c r="F13" s="23"/>
      <c r="G13" s="23"/>
      <c r="H13" s="23"/>
    </row>
    <row r="14" spans="1:8" x14ac:dyDescent="0.35">
      <c r="A14" s="23"/>
      <c r="B14" s="23"/>
      <c r="C14" s="23"/>
      <c r="D14" s="23"/>
      <c r="E14" s="23"/>
      <c r="F14" s="23"/>
      <c r="G14" s="23"/>
      <c r="H14" s="23"/>
    </row>
    <row r="15" spans="1:8" x14ac:dyDescent="0.35">
      <c r="A15" s="23"/>
      <c r="B15" s="23"/>
      <c r="C15" s="23"/>
      <c r="D15" s="23"/>
      <c r="E15" s="23"/>
      <c r="F15" s="23"/>
      <c r="G15" s="23"/>
      <c r="H15" s="23"/>
    </row>
    <row r="16" spans="1:8" x14ac:dyDescent="0.35">
      <c r="A16" s="23"/>
      <c r="B16" s="23"/>
      <c r="C16" s="23"/>
      <c r="D16" s="23"/>
      <c r="E16" s="23"/>
      <c r="F16" s="23"/>
      <c r="G16" s="23"/>
      <c r="H16" s="23"/>
    </row>
    <row r="17" spans="1:8" x14ac:dyDescent="0.35">
      <c r="A17" s="23"/>
      <c r="B17" s="23"/>
      <c r="C17" s="23"/>
      <c r="D17" s="23"/>
      <c r="E17" s="23"/>
      <c r="F17" s="23"/>
      <c r="G17" s="23"/>
      <c r="H17" s="23"/>
    </row>
    <row r="18" spans="1:8" x14ac:dyDescent="0.35">
      <c r="A18" s="23"/>
      <c r="B18" s="23"/>
      <c r="C18" s="23"/>
      <c r="D18" s="23"/>
      <c r="E18" s="23"/>
      <c r="F18" s="23"/>
      <c r="G18" s="23"/>
      <c r="H18" s="23"/>
    </row>
    <row r="19" spans="1:8" x14ac:dyDescent="0.35">
      <c r="A19" s="23"/>
      <c r="B19" s="23"/>
      <c r="C19" s="23"/>
      <c r="D19" s="23"/>
      <c r="E19" s="23"/>
      <c r="F19" s="23"/>
      <c r="G19" s="23"/>
      <c r="H19" s="23"/>
    </row>
    <row r="20" spans="1:8" x14ac:dyDescent="0.35">
      <c r="A20" s="23"/>
      <c r="B20" s="23"/>
      <c r="C20" s="23"/>
      <c r="D20" s="23"/>
      <c r="E20" s="23"/>
      <c r="F20" s="23"/>
      <c r="G20" s="23"/>
      <c r="H20" s="23"/>
    </row>
    <row r="21" spans="1:8" x14ac:dyDescent="0.35">
      <c r="A21" s="23"/>
      <c r="B21" s="23"/>
      <c r="C21" s="23"/>
      <c r="D21" s="23"/>
      <c r="E21" s="23"/>
      <c r="F21" s="23"/>
      <c r="G21" s="23"/>
      <c r="H21" s="23"/>
    </row>
    <row r="22" spans="1:8" x14ac:dyDescent="0.35">
      <c r="A22" s="23"/>
      <c r="B22" s="23"/>
      <c r="C22" s="23"/>
      <c r="D22" s="23"/>
      <c r="E22" s="23"/>
      <c r="F22" s="23"/>
      <c r="G22" s="23"/>
      <c r="H22" s="23"/>
    </row>
    <row r="23" spans="1:8" x14ac:dyDescent="0.35">
      <c r="A23" s="23"/>
      <c r="B23" s="23"/>
      <c r="C23" s="23"/>
      <c r="D23" s="23"/>
      <c r="E23" s="23"/>
      <c r="F23" s="23"/>
      <c r="G23" s="23"/>
      <c r="H23" s="23"/>
    </row>
    <row r="24" spans="1:8" x14ac:dyDescent="0.35">
      <c r="A24" s="23"/>
      <c r="B24" s="23"/>
      <c r="C24" s="23"/>
      <c r="D24" s="23"/>
      <c r="E24" s="23"/>
      <c r="F24" s="23"/>
      <c r="G24" s="23"/>
      <c r="H24" s="23"/>
    </row>
    <row r="25" spans="1:8" x14ac:dyDescent="0.35">
      <c r="A25" s="23"/>
      <c r="B25" s="23"/>
      <c r="C25" s="23"/>
      <c r="D25" s="23"/>
      <c r="E25" s="23"/>
      <c r="F25" s="23"/>
      <c r="G25" s="23"/>
      <c r="H25" s="23"/>
    </row>
    <row r="26" spans="1:8" x14ac:dyDescent="0.35">
      <c r="A26" s="23"/>
      <c r="B26" s="23"/>
      <c r="C26" s="23"/>
      <c r="D26" s="23"/>
      <c r="E26" s="23"/>
      <c r="F26" s="23"/>
      <c r="G26" s="23"/>
      <c r="H26" s="23"/>
    </row>
    <row r="27" spans="1:8" x14ac:dyDescent="0.35">
      <c r="A27" s="23"/>
      <c r="B27" s="23"/>
      <c r="C27" s="23"/>
      <c r="D27" s="23"/>
      <c r="E27" s="23"/>
      <c r="F27" s="23"/>
      <c r="G27" s="23"/>
      <c r="H27" s="23"/>
    </row>
    <row r="28" spans="1:8" x14ac:dyDescent="0.35">
      <c r="A28" s="23"/>
      <c r="B28" s="23"/>
      <c r="C28" s="23"/>
      <c r="D28" s="23"/>
      <c r="E28" s="23"/>
      <c r="F28" s="23"/>
      <c r="G28" s="23"/>
      <c r="H28" s="23"/>
    </row>
    <row r="29" spans="1:8" x14ac:dyDescent="0.35">
      <c r="A29" s="23"/>
      <c r="B29" s="23"/>
      <c r="C29" s="23"/>
      <c r="D29" s="23"/>
      <c r="E29" s="23"/>
      <c r="F29" s="23"/>
      <c r="G29" s="23"/>
      <c r="H29" s="23"/>
    </row>
    <row r="30" spans="1:8" x14ac:dyDescent="0.35">
      <c r="A30" s="23"/>
      <c r="B30" s="23"/>
      <c r="C30" s="23"/>
      <c r="D30" s="23"/>
      <c r="E30" s="23"/>
      <c r="F30" s="23"/>
      <c r="G30" s="23"/>
      <c r="H30" s="23"/>
    </row>
    <row r="31" spans="1:8" x14ac:dyDescent="0.35">
      <c r="A31" s="23"/>
      <c r="B31" s="23"/>
      <c r="C31" s="23"/>
      <c r="D31" s="23"/>
      <c r="E31" s="23"/>
      <c r="F31" s="23"/>
      <c r="G31" s="23"/>
      <c r="H31" s="23"/>
    </row>
    <row r="32" spans="1:8" x14ac:dyDescent="0.35">
      <c r="A32" s="23"/>
      <c r="B32" s="23"/>
      <c r="C32" s="23"/>
      <c r="D32" s="23"/>
      <c r="E32" s="23"/>
      <c r="F32" s="23"/>
      <c r="G32" s="23"/>
      <c r="H32" s="23"/>
    </row>
    <row r="33" spans="1:8" x14ac:dyDescent="0.35">
      <c r="A33" s="23"/>
      <c r="B33" s="23"/>
      <c r="C33" s="23"/>
      <c r="D33" s="23"/>
      <c r="E33" s="23"/>
      <c r="F33" s="23"/>
      <c r="G33" s="23"/>
      <c r="H33" s="23"/>
    </row>
    <row r="34" spans="1:8" x14ac:dyDescent="0.35">
      <c r="A34" s="23"/>
      <c r="B34" s="23"/>
      <c r="C34" s="23"/>
      <c r="D34" s="23"/>
      <c r="E34" s="23"/>
      <c r="F34" s="23"/>
      <c r="G34" s="23"/>
      <c r="H34" s="23"/>
    </row>
    <row r="35" spans="1:8" x14ac:dyDescent="0.35">
      <c r="A35" s="23"/>
      <c r="B35" s="23"/>
      <c r="C35" s="23"/>
      <c r="D35" s="23"/>
      <c r="E35" s="23"/>
      <c r="F35" s="23"/>
      <c r="G35" s="23"/>
      <c r="H35" s="23"/>
    </row>
    <row r="36" spans="1:8" x14ac:dyDescent="0.35">
      <c r="A36" s="23"/>
      <c r="B36" s="23"/>
      <c r="C36" s="23"/>
      <c r="D36" s="23"/>
      <c r="E36" s="23"/>
      <c r="F36" s="23"/>
      <c r="G36" s="23"/>
      <c r="H36" s="23"/>
    </row>
    <row r="37" spans="1:8" x14ac:dyDescent="0.35">
      <c r="A37" s="23"/>
      <c r="B37" s="23"/>
      <c r="C37" s="23"/>
      <c r="D37" s="23"/>
      <c r="E37" s="23"/>
      <c r="F37" s="23"/>
      <c r="G37" s="23"/>
      <c r="H37" s="23"/>
    </row>
    <row r="38" spans="1:8" x14ac:dyDescent="0.35">
      <c r="A38" s="23"/>
      <c r="B38" s="23"/>
      <c r="C38" s="23"/>
      <c r="D38" s="23"/>
      <c r="E38" s="23"/>
      <c r="F38" s="23"/>
      <c r="G38" s="23"/>
      <c r="H38" s="23"/>
    </row>
    <row r="39" spans="1:8" x14ac:dyDescent="0.35">
      <c r="A39" s="23"/>
      <c r="B39" s="23"/>
      <c r="C39" s="23"/>
      <c r="D39" s="23"/>
      <c r="E39" s="23"/>
      <c r="F39" s="23"/>
      <c r="G39" s="23"/>
      <c r="H39" s="23"/>
    </row>
    <row r="40" spans="1:8" x14ac:dyDescent="0.35">
      <c r="A40" s="23"/>
      <c r="B40" s="23"/>
      <c r="C40" s="23"/>
      <c r="D40" s="23"/>
      <c r="E40" s="23"/>
      <c r="F40" s="23"/>
      <c r="G40" s="23"/>
      <c r="H40" s="23"/>
    </row>
    <row r="41" spans="1:8" x14ac:dyDescent="0.35">
      <c r="A41" s="23"/>
      <c r="B41" s="23"/>
      <c r="C41" s="23"/>
      <c r="D41" s="23"/>
      <c r="E41" s="23"/>
      <c r="F41" s="23"/>
      <c r="G41" s="23"/>
      <c r="H41" s="23"/>
    </row>
    <row r="42" spans="1:8" x14ac:dyDescent="0.35">
      <c r="A42" s="23"/>
      <c r="B42" s="23"/>
      <c r="C42" s="23"/>
      <c r="D42" s="23"/>
      <c r="E42" s="23"/>
      <c r="F42" s="23"/>
      <c r="G42" s="23"/>
      <c r="H42" s="23"/>
    </row>
    <row r="43" spans="1:8" x14ac:dyDescent="0.35">
      <c r="A43" s="23"/>
      <c r="B43" s="23"/>
      <c r="C43" s="23"/>
      <c r="D43" s="23"/>
      <c r="E43" s="23"/>
      <c r="F43" s="23"/>
      <c r="G43" s="23"/>
      <c r="H43" s="23"/>
    </row>
    <row r="44" spans="1:8" x14ac:dyDescent="0.35">
      <c r="A44" s="23"/>
      <c r="B44" s="23"/>
      <c r="C44" s="23"/>
      <c r="D44" s="23"/>
      <c r="E44" s="23"/>
      <c r="F44" s="23"/>
      <c r="G44" s="23"/>
      <c r="H44" s="23"/>
    </row>
  </sheetData>
  <sheetProtection sheet="1" insertRows="0" sort="0" autoFilter="0"/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D44"/>
  <sheetViews>
    <sheetView workbookViewId="0">
      <pane ySplit="4" topLeftCell="A5" activePane="bottomLeft" state="frozen"/>
      <selection pane="bottomLeft"/>
    </sheetView>
  </sheetViews>
  <sheetFormatPr defaultRowHeight="14.5" x14ac:dyDescent="0.35"/>
  <sheetData>
    <row r="1" spans="1:4" x14ac:dyDescent="0.35">
      <c r="A1" s="2" t="s">
        <v>200</v>
      </c>
    </row>
    <row r="2" spans="1:4" x14ac:dyDescent="0.35">
      <c r="A2" s="2" t="s">
        <v>201</v>
      </c>
    </row>
    <row r="4" spans="1:4" x14ac:dyDescent="0.35">
      <c r="A4" s="25" t="s">
        <v>202</v>
      </c>
      <c r="B4" s="25" t="s">
        <v>187</v>
      </c>
      <c r="C4" s="25" t="s">
        <v>203</v>
      </c>
      <c r="D4" s="25" t="s">
        <v>199</v>
      </c>
    </row>
    <row r="5" spans="1:4" x14ac:dyDescent="0.35">
      <c r="A5" s="23"/>
      <c r="B5" s="23"/>
      <c r="C5" s="23"/>
      <c r="D5" s="23"/>
    </row>
    <row r="6" spans="1:4" x14ac:dyDescent="0.35">
      <c r="A6" s="23"/>
      <c r="B6" s="23"/>
      <c r="C6" s="23"/>
      <c r="D6" s="23"/>
    </row>
    <row r="7" spans="1:4" x14ac:dyDescent="0.35">
      <c r="A7" s="23"/>
      <c r="B7" s="23"/>
      <c r="C7" s="23"/>
      <c r="D7" s="23"/>
    </row>
    <row r="8" spans="1:4" x14ac:dyDescent="0.35">
      <c r="A8" s="23"/>
      <c r="B8" s="23"/>
      <c r="C8" s="23"/>
      <c r="D8" s="23"/>
    </row>
    <row r="9" spans="1:4" x14ac:dyDescent="0.35">
      <c r="A9" s="23"/>
      <c r="B9" s="23"/>
      <c r="C9" s="23"/>
      <c r="D9" s="23"/>
    </row>
    <row r="10" spans="1:4" x14ac:dyDescent="0.35">
      <c r="A10" s="23"/>
      <c r="B10" s="23"/>
      <c r="C10" s="23"/>
      <c r="D10" s="23"/>
    </row>
    <row r="11" spans="1:4" x14ac:dyDescent="0.35">
      <c r="A11" s="23"/>
      <c r="B11" s="23"/>
      <c r="C11" s="23"/>
      <c r="D11" s="23"/>
    </row>
    <row r="12" spans="1:4" x14ac:dyDescent="0.35">
      <c r="A12" s="23"/>
      <c r="B12" s="23"/>
      <c r="C12" s="23"/>
      <c r="D12" s="23"/>
    </row>
    <row r="13" spans="1:4" x14ac:dyDescent="0.35">
      <c r="A13" s="23"/>
      <c r="B13" s="23"/>
      <c r="C13" s="23"/>
      <c r="D13" s="23"/>
    </row>
    <row r="14" spans="1:4" x14ac:dyDescent="0.35">
      <c r="A14" s="23"/>
      <c r="B14" s="23"/>
      <c r="C14" s="23"/>
      <c r="D14" s="23"/>
    </row>
    <row r="15" spans="1:4" x14ac:dyDescent="0.35">
      <c r="A15" s="23"/>
      <c r="B15" s="23"/>
      <c r="C15" s="23"/>
      <c r="D15" s="23"/>
    </row>
    <row r="16" spans="1:4" x14ac:dyDescent="0.35">
      <c r="A16" s="23"/>
      <c r="B16" s="23"/>
      <c r="C16" s="23"/>
      <c r="D16" s="23"/>
    </row>
    <row r="17" spans="1:4" x14ac:dyDescent="0.35">
      <c r="A17" s="23"/>
      <c r="B17" s="23"/>
      <c r="C17" s="23"/>
      <c r="D17" s="23"/>
    </row>
    <row r="18" spans="1:4" x14ac:dyDescent="0.35">
      <c r="A18" s="23"/>
      <c r="B18" s="23"/>
      <c r="C18" s="23"/>
      <c r="D18" s="23"/>
    </row>
    <row r="19" spans="1:4" x14ac:dyDescent="0.35">
      <c r="A19" s="23"/>
      <c r="B19" s="23"/>
      <c r="C19" s="23"/>
      <c r="D19" s="23"/>
    </row>
    <row r="20" spans="1:4" x14ac:dyDescent="0.35">
      <c r="A20" s="23"/>
      <c r="B20" s="23"/>
      <c r="C20" s="23"/>
      <c r="D20" s="23"/>
    </row>
    <row r="21" spans="1:4" x14ac:dyDescent="0.35">
      <c r="A21" s="23"/>
      <c r="B21" s="23"/>
      <c r="C21" s="23"/>
      <c r="D21" s="23"/>
    </row>
    <row r="22" spans="1:4" x14ac:dyDescent="0.35">
      <c r="A22" s="23"/>
      <c r="B22" s="23"/>
      <c r="C22" s="23"/>
      <c r="D22" s="23"/>
    </row>
    <row r="23" spans="1:4" x14ac:dyDescent="0.35">
      <c r="A23" s="23"/>
      <c r="B23" s="23"/>
      <c r="C23" s="23"/>
      <c r="D23" s="23"/>
    </row>
    <row r="24" spans="1:4" x14ac:dyDescent="0.35">
      <c r="A24" s="23"/>
      <c r="B24" s="23"/>
      <c r="C24" s="23"/>
      <c r="D24" s="23"/>
    </row>
    <row r="25" spans="1:4" x14ac:dyDescent="0.35">
      <c r="A25" s="23"/>
      <c r="B25" s="23"/>
      <c r="C25" s="23"/>
      <c r="D25" s="23"/>
    </row>
    <row r="26" spans="1:4" x14ac:dyDescent="0.35">
      <c r="A26" s="23"/>
      <c r="B26" s="23"/>
      <c r="C26" s="23"/>
      <c r="D26" s="23"/>
    </row>
    <row r="27" spans="1:4" x14ac:dyDescent="0.35">
      <c r="A27" s="23"/>
      <c r="B27" s="23"/>
      <c r="C27" s="23"/>
      <c r="D27" s="23"/>
    </row>
    <row r="28" spans="1:4" x14ac:dyDescent="0.35">
      <c r="A28" s="23"/>
      <c r="B28" s="23"/>
      <c r="C28" s="23"/>
      <c r="D28" s="23"/>
    </row>
    <row r="29" spans="1:4" x14ac:dyDescent="0.35">
      <c r="A29" s="23"/>
      <c r="B29" s="23"/>
      <c r="C29" s="23"/>
      <c r="D29" s="23"/>
    </row>
    <row r="30" spans="1:4" x14ac:dyDescent="0.35">
      <c r="A30" s="23"/>
      <c r="B30" s="23"/>
      <c r="C30" s="23"/>
      <c r="D30" s="23"/>
    </row>
    <row r="31" spans="1:4" x14ac:dyDescent="0.35">
      <c r="A31" s="23"/>
      <c r="B31" s="23"/>
      <c r="C31" s="23"/>
      <c r="D31" s="23"/>
    </row>
    <row r="32" spans="1:4" x14ac:dyDescent="0.35">
      <c r="A32" s="23"/>
      <c r="B32" s="23"/>
      <c r="C32" s="23"/>
      <c r="D32" s="23"/>
    </row>
    <row r="33" spans="1:4" x14ac:dyDescent="0.35">
      <c r="A33" s="23"/>
      <c r="B33" s="23"/>
      <c r="C33" s="23"/>
      <c r="D33" s="23"/>
    </row>
    <row r="34" spans="1:4" x14ac:dyDescent="0.35">
      <c r="A34" s="23"/>
      <c r="B34" s="23"/>
      <c r="C34" s="23"/>
      <c r="D34" s="23"/>
    </row>
    <row r="35" spans="1:4" x14ac:dyDescent="0.35">
      <c r="A35" s="23"/>
      <c r="B35" s="23"/>
      <c r="C35" s="23"/>
      <c r="D35" s="23"/>
    </row>
    <row r="36" spans="1:4" x14ac:dyDescent="0.35">
      <c r="A36" s="23"/>
      <c r="B36" s="23"/>
      <c r="C36" s="23"/>
      <c r="D36" s="23"/>
    </row>
    <row r="37" spans="1:4" x14ac:dyDescent="0.35">
      <c r="A37" s="23"/>
      <c r="B37" s="23"/>
      <c r="C37" s="23"/>
      <c r="D37" s="23"/>
    </row>
    <row r="38" spans="1:4" x14ac:dyDescent="0.35">
      <c r="A38" s="23"/>
      <c r="B38" s="23"/>
      <c r="C38" s="23"/>
      <c r="D38" s="23"/>
    </row>
    <row r="39" spans="1:4" x14ac:dyDescent="0.35">
      <c r="A39" s="23"/>
      <c r="B39" s="23"/>
      <c r="C39" s="23"/>
      <c r="D39" s="23"/>
    </row>
    <row r="40" spans="1:4" x14ac:dyDescent="0.35">
      <c r="A40" s="23"/>
      <c r="B40" s="23"/>
      <c r="C40" s="23"/>
      <c r="D40" s="23"/>
    </row>
    <row r="41" spans="1:4" x14ac:dyDescent="0.35">
      <c r="A41" s="23"/>
      <c r="B41" s="23"/>
      <c r="C41" s="23"/>
      <c r="D41" s="23"/>
    </row>
    <row r="42" spans="1:4" x14ac:dyDescent="0.35">
      <c r="A42" s="23"/>
      <c r="B42" s="23"/>
      <c r="C42" s="23"/>
      <c r="D42" s="23"/>
    </row>
    <row r="43" spans="1:4" x14ac:dyDescent="0.35">
      <c r="A43" s="23"/>
      <c r="B43" s="23"/>
      <c r="C43" s="23"/>
      <c r="D43" s="23"/>
    </row>
    <row r="44" spans="1:4" x14ac:dyDescent="0.35">
      <c r="A44" s="23"/>
      <c r="B44" s="23"/>
      <c r="C44" s="23"/>
      <c r="D44" s="23"/>
    </row>
  </sheetData>
  <sheetProtection sheet="1" insertRows="0" sort="0" autoFilter="0"/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D45"/>
  <sheetViews>
    <sheetView workbookViewId="0">
      <pane ySplit="5" topLeftCell="A6" activePane="bottomLeft" state="frozen"/>
      <selection pane="bottomLeft"/>
    </sheetView>
  </sheetViews>
  <sheetFormatPr defaultRowHeight="14.5" x14ac:dyDescent="0.35"/>
  <sheetData>
    <row r="1" spans="1:4" x14ac:dyDescent="0.35">
      <c r="A1" s="2" t="s">
        <v>204</v>
      </c>
    </row>
    <row r="2" spans="1:4" x14ac:dyDescent="0.35">
      <c r="A2" s="2" t="s">
        <v>205</v>
      </c>
    </row>
    <row r="3" spans="1:4" x14ac:dyDescent="0.35">
      <c r="A3" s="2" t="s">
        <v>206</v>
      </c>
    </row>
    <row r="5" spans="1:4" x14ac:dyDescent="0.35">
      <c r="A5" s="25" t="s">
        <v>202</v>
      </c>
      <c r="B5" s="25" t="s">
        <v>207</v>
      </c>
      <c r="C5" s="25" t="s">
        <v>208</v>
      </c>
      <c r="D5" s="25" t="s">
        <v>209</v>
      </c>
    </row>
    <row r="6" spans="1:4" x14ac:dyDescent="0.35">
      <c r="A6" s="23"/>
      <c r="B6" s="23"/>
      <c r="C6" s="23"/>
      <c r="D6" s="23"/>
    </row>
    <row r="7" spans="1:4" x14ac:dyDescent="0.35">
      <c r="A7" s="23"/>
      <c r="B7" s="23"/>
      <c r="C7" s="23"/>
      <c r="D7" s="23"/>
    </row>
    <row r="8" spans="1:4" x14ac:dyDescent="0.35">
      <c r="A8" s="23"/>
      <c r="B8" s="23"/>
      <c r="C8" s="23"/>
      <c r="D8" s="23"/>
    </row>
    <row r="9" spans="1:4" x14ac:dyDescent="0.35">
      <c r="A9" s="23"/>
      <c r="B9" s="23"/>
      <c r="C9" s="23"/>
      <c r="D9" s="23"/>
    </row>
    <row r="10" spans="1:4" x14ac:dyDescent="0.35">
      <c r="A10" s="23"/>
      <c r="B10" s="23"/>
      <c r="C10" s="23"/>
      <c r="D10" s="23"/>
    </row>
    <row r="11" spans="1:4" x14ac:dyDescent="0.35">
      <c r="A11" s="23"/>
      <c r="B11" s="23"/>
      <c r="C11" s="23"/>
      <c r="D11" s="23"/>
    </row>
    <row r="12" spans="1:4" x14ac:dyDescent="0.35">
      <c r="A12" s="23"/>
      <c r="B12" s="23"/>
      <c r="C12" s="23"/>
      <c r="D12" s="23"/>
    </row>
    <row r="13" spans="1:4" x14ac:dyDescent="0.35">
      <c r="A13" s="23"/>
      <c r="B13" s="23"/>
      <c r="C13" s="23"/>
      <c r="D13" s="23"/>
    </row>
    <row r="14" spans="1:4" x14ac:dyDescent="0.35">
      <c r="A14" s="23"/>
      <c r="B14" s="23"/>
      <c r="C14" s="23"/>
      <c r="D14" s="23"/>
    </row>
    <row r="15" spans="1:4" x14ac:dyDescent="0.35">
      <c r="A15" s="23"/>
      <c r="B15" s="23"/>
      <c r="C15" s="23"/>
      <c r="D15" s="23"/>
    </row>
    <row r="16" spans="1:4" x14ac:dyDescent="0.35">
      <c r="A16" s="23"/>
      <c r="B16" s="23"/>
      <c r="C16" s="23"/>
      <c r="D16" s="23"/>
    </row>
    <row r="17" spans="1:4" x14ac:dyDescent="0.35">
      <c r="A17" s="23"/>
      <c r="B17" s="23"/>
      <c r="C17" s="23"/>
      <c r="D17" s="23"/>
    </row>
    <row r="18" spans="1:4" x14ac:dyDescent="0.35">
      <c r="A18" s="23"/>
      <c r="B18" s="23"/>
      <c r="C18" s="23"/>
      <c r="D18" s="23"/>
    </row>
    <row r="19" spans="1:4" x14ac:dyDescent="0.35">
      <c r="A19" s="23"/>
      <c r="B19" s="23"/>
      <c r="C19" s="23"/>
      <c r="D19" s="23"/>
    </row>
    <row r="20" spans="1:4" x14ac:dyDescent="0.35">
      <c r="A20" s="23"/>
      <c r="B20" s="23"/>
      <c r="C20" s="23"/>
      <c r="D20" s="23"/>
    </row>
    <row r="21" spans="1:4" x14ac:dyDescent="0.35">
      <c r="A21" s="23"/>
      <c r="B21" s="23"/>
      <c r="C21" s="23"/>
      <c r="D21" s="23"/>
    </row>
    <row r="22" spans="1:4" x14ac:dyDescent="0.35">
      <c r="A22" s="23"/>
      <c r="B22" s="23"/>
      <c r="C22" s="23"/>
      <c r="D22" s="23"/>
    </row>
    <row r="23" spans="1:4" x14ac:dyDescent="0.35">
      <c r="A23" s="23"/>
      <c r="B23" s="23"/>
      <c r="C23" s="23"/>
      <c r="D23" s="23"/>
    </row>
    <row r="24" spans="1:4" x14ac:dyDescent="0.35">
      <c r="A24" s="23"/>
      <c r="B24" s="23"/>
      <c r="C24" s="23"/>
      <c r="D24" s="23"/>
    </row>
    <row r="25" spans="1:4" x14ac:dyDescent="0.35">
      <c r="A25" s="23"/>
      <c r="B25" s="23"/>
      <c r="C25" s="23"/>
      <c r="D25" s="23"/>
    </row>
    <row r="26" spans="1:4" x14ac:dyDescent="0.35">
      <c r="A26" s="23"/>
      <c r="B26" s="23"/>
      <c r="C26" s="23"/>
      <c r="D26" s="23"/>
    </row>
    <row r="27" spans="1:4" x14ac:dyDescent="0.35">
      <c r="A27" s="23"/>
      <c r="B27" s="23"/>
      <c r="C27" s="23"/>
      <c r="D27" s="23"/>
    </row>
    <row r="28" spans="1:4" x14ac:dyDescent="0.35">
      <c r="A28" s="23"/>
      <c r="B28" s="23"/>
      <c r="C28" s="23"/>
      <c r="D28" s="23"/>
    </row>
    <row r="29" spans="1:4" x14ac:dyDescent="0.35">
      <c r="A29" s="23"/>
      <c r="B29" s="23"/>
      <c r="C29" s="23"/>
      <c r="D29" s="23"/>
    </row>
    <row r="30" spans="1:4" x14ac:dyDescent="0.35">
      <c r="A30" s="23"/>
      <c r="B30" s="23"/>
      <c r="C30" s="23"/>
      <c r="D30" s="23"/>
    </row>
    <row r="31" spans="1:4" x14ac:dyDescent="0.35">
      <c r="A31" s="23"/>
      <c r="B31" s="23"/>
      <c r="C31" s="23"/>
      <c r="D31" s="23"/>
    </row>
    <row r="32" spans="1:4" x14ac:dyDescent="0.35">
      <c r="A32" s="23"/>
      <c r="B32" s="23"/>
      <c r="C32" s="23"/>
      <c r="D32" s="23"/>
    </row>
    <row r="33" spans="1:4" x14ac:dyDescent="0.35">
      <c r="A33" s="23"/>
      <c r="B33" s="23"/>
      <c r="C33" s="23"/>
      <c r="D33" s="23"/>
    </row>
    <row r="34" spans="1:4" x14ac:dyDescent="0.35">
      <c r="A34" s="23"/>
      <c r="B34" s="23"/>
      <c r="C34" s="23"/>
      <c r="D34" s="23"/>
    </row>
    <row r="35" spans="1:4" x14ac:dyDescent="0.35">
      <c r="A35" s="23"/>
      <c r="B35" s="23"/>
      <c r="C35" s="23"/>
      <c r="D35" s="23"/>
    </row>
    <row r="36" spans="1:4" x14ac:dyDescent="0.35">
      <c r="A36" s="23"/>
      <c r="B36" s="23"/>
      <c r="C36" s="23"/>
      <c r="D36" s="23"/>
    </row>
    <row r="37" spans="1:4" x14ac:dyDescent="0.35">
      <c r="A37" s="23"/>
      <c r="B37" s="23"/>
      <c r="C37" s="23"/>
      <c r="D37" s="23"/>
    </row>
    <row r="38" spans="1:4" x14ac:dyDescent="0.35">
      <c r="A38" s="23"/>
      <c r="B38" s="23"/>
      <c r="C38" s="23"/>
      <c r="D38" s="23"/>
    </row>
    <row r="39" spans="1:4" x14ac:dyDescent="0.35">
      <c r="A39" s="23"/>
      <c r="B39" s="23"/>
      <c r="C39" s="23"/>
      <c r="D39" s="23"/>
    </row>
    <row r="40" spans="1:4" x14ac:dyDescent="0.35">
      <c r="A40" s="23"/>
      <c r="B40" s="23"/>
      <c r="C40" s="23"/>
      <c r="D40" s="23"/>
    </row>
    <row r="41" spans="1:4" x14ac:dyDescent="0.35">
      <c r="A41" s="23"/>
      <c r="B41" s="23"/>
      <c r="C41" s="23"/>
      <c r="D41" s="23"/>
    </row>
    <row r="42" spans="1:4" x14ac:dyDescent="0.35">
      <c r="A42" s="23"/>
      <c r="B42" s="23"/>
      <c r="C42" s="23"/>
      <c r="D42" s="23"/>
    </row>
    <row r="43" spans="1:4" x14ac:dyDescent="0.35">
      <c r="A43" s="23"/>
      <c r="B43" s="23"/>
      <c r="C43" s="23"/>
      <c r="D43" s="23"/>
    </row>
    <row r="44" spans="1:4" x14ac:dyDescent="0.35">
      <c r="A44" s="23"/>
      <c r="B44" s="23"/>
      <c r="C44" s="23"/>
      <c r="D44" s="23"/>
    </row>
    <row r="45" spans="1:4" x14ac:dyDescent="0.35">
      <c r="A45" s="23"/>
      <c r="B45" s="23"/>
      <c r="C45" s="23"/>
      <c r="D45" s="23"/>
    </row>
  </sheetData>
  <sheetProtection sheet="1" insertRows="0" sort="0" autoFilter="0"/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D4"/>
  <sheetViews>
    <sheetView workbookViewId="0"/>
  </sheetViews>
  <sheetFormatPr defaultRowHeight="14.5" x14ac:dyDescent="0.35"/>
  <cols>
    <col min="1" max="1" width="44" customWidth="1"/>
    <col min="2" max="2" width="18" customWidth="1"/>
  </cols>
  <sheetData>
    <row r="1" spans="1:4" x14ac:dyDescent="0.35">
      <c r="A1" t="s">
        <v>210</v>
      </c>
      <c r="B1">
        <f>SUMPRODUCT(('Risk Register'!T5:T44="Yes")*'Risk Register'!U5:U44*('Risk Register'!V5:V44+4*'Risk Register'!W5:W44+'Risk Register'!X5:X44)/6)</f>
        <v>18.983333333333334</v>
      </c>
      <c r="D1" s="22" t="s">
        <v>211</v>
      </c>
    </row>
    <row r="2" spans="1:4" x14ac:dyDescent="0.35">
      <c r="A2" t="s">
        <v>212</v>
      </c>
      <c r="B2">
        <f>B1*MC_day_rate</f>
        <v>332208.33333333337</v>
      </c>
    </row>
    <row r="3" spans="1:4" x14ac:dyDescent="0.35">
      <c r="A3" t="s">
        <v>213</v>
      </c>
      <c r="B3">
        <f>SUM('Risk Register'!AC5:AC44)</f>
        <v>14.116666666666665</v>
      </c>
    </row>
    <row r="4" spans="1:4" x14ac:dyDescent="0.35">
      <c r="A4" t="s">
        <v>214</v>
      </c>
      <c r="B4">
        <f>B3*MC_day_rate</f>
        <v>247041.66666666666</v>
      </c>
    </row>
  </sheetData>
  <sheetProtection sheet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9DB"/>
  </sheetPr>
  <dimension ref="B2:C15"/>
  <sheetViews>
    <sheetView workbookViewId="0"/>
  </sheetViews>
  <sheetFormatPr defaultRowHeight="14.5" x14ac:dyDescent="0.35"/>
  <cols>
    <col min="2" max="2" width="40" customWidth="1"/>
    <col min="3" max="3" width="18" customWidth="1"/>
  </cols>
  <sheetData>
    <row r="2" spans="2:3" x14ac:dyDescent="0.35">
      <c r="B2" t="s">
        <v>215</v>
      </c>
      <c r="C2" s="23"/>
    </row>
    <row r="3" spans="2:3" x14ac:dyDescent="0.35">
      <c r="B3" t="s">
        <v>216</v>
      </c>
      <c r="C3" s="23"/>
    </row>
    <row r="4" spans="2:3" x14ac:dyDescent="0.35">
      <c r="B4" t="s">
        <v>217</v>
      </c>
      <c r="C4" s="23"/>
    </row>
    <row r="5" spans="2:3" x14ac:dyDescent="0.35">
      <c r="B5" t="s">
        <v>218</v>
      </c>
      <c r="C5" s="23"/>
    </row>
    <row r="6" spans="2:3" x14ac:dyDescent="0.35">
      <c r="B6" t="s">
        <v>219</v>
      </c>
      <c r="C6" s="23"/>
    </row>
    <row r="7" spans="2:3" x14ac:dyDescent="0.35">
      <c r="B7" t="s">
        <v>220</v>
      </c>
      <c r="C7" s="23"/>
    </row>
    <row r="8" spans="2:3" x14ac:dyDescent="0.35">
      <c r="B8" t="s">
        <v>221</v>
      </c>
      <c r="C8" s="23"/>
    </row>
    <row r="9" spans="2:3" x14ac:dyDescent="0.35">
      <c r="B9" t="s">
        <v>222</v>
      </c>
      <c r="C9" s="23"/>
    </row>
    <row r="10" spans="2:3" x14ac:dyDescent="0.35">
      <c r="B10" t="s">
        <v>223</v>
      </c>
      <c r="C10" s="23"/>
    </row>
    <row r="11" spans="2:3" x14ac:dyDescent="0.35">
      <c r="B11" t="s">
        <v>224</v>
      </c>
      <c r="C11" s="18">
        <v>17500</v>
      </c>
    </row>
    <row r="12" spans="2:3" x14ac:dyDescent="0.35">
      <c r="B12" t="s">
        <v>225</v>
      </c>
      <c r="C12" s="23"/>
    </row>
    <row r="13" spans="2:3" x14ac:dyDescent="0.35">
      <c r="B13" t="s">
        <v>226</v>
      </c>
      <c r="C13" s="23"/>
    </row>
    <row r="14" spans="2:3" x14ac:dyDescent="0.35">
      <c r="B14" t="s">
        <v>227</v>
      </c>
      <c r="C14" s="23"/>
    </row>
    <row r="15" spans="2:3" x14ac:dyDescent="0.35">
      <c r="B15" t="s">
        <v>228</v>
      </c>
      <c r="C15" s="23"/>
    </row>
  </sheetData>
  <sheetProtection sheet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AE6FF"/>
  </sheetPr>
  <dimension ref="A1:B99"/>
  <sheetViews>
    <sheetView workbookViewId="0"/>
  </sheetViews>
  <sheetFormatPr defaultRowHeight="14.5" x14ac:dyDescent="0.35"/>
  <cols>
    <col min="1" max="1" width="34" customWidth="1"/>
    <col min="2" max="2" width="22" customWidth="1"/>
    <col min="3" max="4" width="20" customWidth="1"/>
  </cols>
  <sheetData>
    <row r="1" spans="1:2" ht="17" x14ac:dyDescent="0.4">
      <c r="A1" s="26" t="s">
        <v>229</v>
      </c>
    </row>
    <row r="2" spans="1:2" x14ac:dyDescent="0.35">
      <c r="A2" s="27" t="s">
        <v>230</v>
      </c>
    </row>
    <row r="3" spans="1:2" x14ac:dyDescent="0.35">
      <c r="A3" s="22" t="s">
        <v>231</v>
      </c>
    </row>
    <row r="4" spans="1:2" x14ac:dyDescent="0.35">
      <c r="A4" s="28" t="s">
        <v>232</v>
      </c>
    </row>
    <row r="5" spans="1:2" x14ac:dyDescent="0.35">
      <c r="A5" t="s">
        <v>233</v>
      </c>
      <c r="B5">
        <f>SUM('Risk Register'!AB5:AB44)</f>
        <v>0</v>
      </c>
    </row>
    <row r="6" spans="1:2" x14ac:dyDescent="0.35">
      <c r="A6" t="s">
        <v>234</v>
      </c>
      <c r="B6">
        <f>SUM('Risk Register'!AD5:AD44)</f>
        <v>247041.66666666666</v>
      </c>
    </row>
    <row r="7" spans="1:2" x14ac:dyDescent="0.35">
      <c r="A7" t="s">
        <v>235</v>
      </c>
      <c r="B7">
        <f>B5+B6</f>
        <v>247041.66666666666</v>
      </c>
    </row>
    <row r="8" spans="1:2" x14ac:dyDescent="0.35">
      <c r="A8" t="s">
        <v>236</v>
      </c>
      <c r="B8" t="str">
        <f>COUNTIF('Risk Register'!Z5:Z44,"Series")&amp;" / "&amp;COUNTIF('Risk Register'!Z5:Z44,"Hybrid")&amp;" / "&amp;COUNTIF('Risk Register'!Z5:Z44,"Parallel")</f>
        <v>3 / 2 / 1</v>
      </c>
    </row>
    <row r="11" spans="1:2" x14ac:dyDescent="0.35">
      <c r="A11" s="28" t="s">
        <v>237</v>
      </c>
      <c r="B11" s="28" t="s">
        <v>238</v>
      </c>
    </row>
    <row r="12" spans="1:2" x14ac:dyDescent="0.35">
      <c r="A12" t="str">
        <f>'Risk Register'!A5</f>
        <v>RSK001</v>
      </c>
      <c r="B12">
        <f>'Risk Register'!AB5</f>
        <v>0</v>
      </c>
    </row>
    <row r="13" spans="1:2" x14ac:dyDescent="0.35">
      <c r="A13" t="str">
        <f>'Risk Register'!A6</f>
        <v>RSK002</v>
      </c>
      <c r="B13">
        <f>'Risk Register'!AB6</f>
        <v>0</v>
      </c>
    </row>
    <row r="14" spans="1:2" x14ac:dyDescent="0.35">
      <c r="A14" t="str">
        <f>'Risk Register'!A7</f>
        <v>RSK003</v>
      </c>
      <c r="B14">
        <f>'Risk Register'!AB7</f>
        <v>0</v>
      </c>
    </row>
    <row r="15" spans="1:2" x14ac:dyDescent="0.35">
      <c r="A15" t="str">
        <f>'Risk Register'!A8</f>
        <v>RSK004</v>
      </c>
      <c r="B15">
        <f>'Risk Register'!AB8</f>
        <v>0</v>
      </c>
    </row>
    <row r="16" spans="1:2" x14ac:dyDescent="0.35">
      <c r="A16" t="str">
        <f>'Risk Register'!A9</f>
        <v>RSK005</v>
      </c>
      <c r="B16">
        <f>'Risk Register'!AB9</f>
        <v>0</v>
      </c>
    </row>
    <row r="17" spans="1:2" x14ac:dyDescent="0.35">
      <c r="A17" t="str">
        <f>'Risk Register'!A10</f>
        <v>RSK006</v>
      </c>
      <c r="B17">
        <f>'Risk Register'!AB10</f>
        <v>0</v>
      </c>
    </row>
    <row r="18" spans="1:2" x14ac:dyDescent="0.35">
      <c r="A18">
        <f>'Risk Register'!A11</f>
        <v>0</v>
      </c>
      <c r="B18" t="str">
        <f>'Risk Register'!AB11</f>
        <v/>
      </c>
    </row>
    <row r="19" spans="1:2" x14ac:dyDescent="0.35">
      <c r="A19">
        <f>'Risk Register'!A12</f>
        <v>0</v>
      </c>
      <c r="B19" t="str">
        <f>'Risk Register'!AB12</f>
        <v/>
      </c>
    </row>
    <row r="20" spans="1:2" x14ac:dyDescent="0.35">
      <c r="A20">
        <f>'Risk Register'!A13</f>
        <v>0</v>
      </c>
      <c r="B20" t="str">
        <f>'Risk Register'!AB13</f>
        <v/>
      </c>
    </row>
    <row r="21" spans="1:2" x14ac:dyDescent="0.35">
      <c r="A21">
        <f>'Risk Register'!A14</f>
        <v>0</v>
      </c>
      <c r="B21" t="str">
        <f>'Risk Register'!AB14</f>
        <v/>
      </c>
    </row>
    <row r="22" spans="1:2" x14ac:dyDescent="0.35">
      <c r="A22">
        <f>'Risk Register'!A15</f>
        <v>0</v>
      </c>
      <c r="B22" t="str">
        <f>'Risk Register'!AB15</f>
        <v/>
      </c>
    </row>
    <row r="23" spans="1:2" x14ac:dyDescent="0.35">
      <c r="A23">
        <f>'Risk Register'!A16</f>
        <v>0</v>
      </c>
      <c r="B23" t="str">
        <f>'Risk Register'!AB16</f>
        <v/>
      </c>
    </row>
    <row r="24" spans="1:2" x14ac:dyDescent="0.35">
      <c r="A24">
        <f>'Risk Register'!A17</f>
        <v>0</v>
      </c>
      <c r="B24" t="str">
        <f>'Risk Register'!AB17</f>
        <v/>
      </c>
    </row>
    <row r="25" spans="1:2" x14ac:dyDescent="0.35">
      <c r="A25">
        <f>'Risk Register'!A18</f>
        <v>0</v>
      </c>
      <c r="B25" t="str">
        <f>'Risk Register'!AB18</f>
        <v/>
      </c>
    </row>
    <row r="26" spans="1:2" x14ac:dyDescent="0.35">
      <c r="A26">
        <f>'Risk Register'!A19</f>
        <v>0</v>
      </c>
      <c r="B26" t="str">
        <f>'Risk Register'!AB19</f>
        <v/>
      </c>
    </row>
    <row r="27" spans="1:2" x14ac:dyDescent="0.35">
      <c r="A27">
        <f>'Risk Register'!A20</f>
        <v>0</v>
      </c>
      <c r="B27" t="str">
        <f>'Risk Register'!AB20</f>
        <v/>
      </c>
    </row>
    <row r="28" spans="1:2" x14ac:dyDescent="0.35">
      <c r="A28">
        <f>'Risk Register'!A21</f>
        <v>0</v>
      </c>
      <c r="B28" t="str">
        <f>'Risk Register'!AB21</f>
        <v/>
      </c>
    </row>
    <row r="29" spans="1:2" x14ac:dyDescent="0.35">
      <c r="A29">
        <f>'Risk Register'!A22</f>
        <v>0</v>
      </c>
      <c r="B29" t="str">
        <f>'Risk Register'!AB22</f>
        <v/>
      </c>
    </row>
    <row r="30" spans="1:2" x14ac:dyDescent="0.35">
      <c r="A30">
        <f>'Risk Register'!A23</f>
        <v>0</v>
      </c>
      <c r="B30" t="str">
        <f>'Risk Register'!AB23</f>
        <v/>
      </c>
    </row>
    <row r="31" spans="1:2" x14ac:dyDescent="0.35">
      <c r="A31">
        <f>'Risk Register'!A24</f>
        <v>0</v>
      </c>
      <c r="B31" t="str">
        <f>'Risk Register'!AB24</f>
        <v/>
      </c>
    </row>
    <row r="32" spans="1:2" x14ac:dyDescent="0.35">
      <c r="A32">
        <f>'Risk Register'!A25</f>
        <v>0</v>
      </c>
      <c r="B32" t="str">
        <f>'Risk Register'!AB25</f>
        <v/>
      </c>
    </row>
    <row r="33" spans="1:2" x14ac:dyDescent="0.35">
      <c r="A33">
        <f>'Risk Register'!A26</f>
        <v>0</v>
      </c>
      <c r="B33" t="str">
        <f>'Risk Register'!AB26</f>
        <v/>
      </c>
    </row>
    <row r="34" spans="1:2" x14ac:dyDescent="0.35">
      <c r="A34">
        <f>'Risk Register'!A27</f>
        <v>0</v>
      </c>
      <c r="B34" t="str">
        <f>'Risk Register'!AB27</f>
        <v/>
      </c>
    </row>
    <row r="35" spans="1:2" x14ac:dyDescent="0.35">
      <c r="A35">
        <f>'Risk Register'!A28</f>
        <v>0</v>
      </c>
      <c r="B35" t="str">
        <f>'Risk Register'!AB28</f>
        <v/>
      </c>
    </row>
    <row r="36" spans="1:2" x14ac:dyDescent="0.35">
      <c r="A36">
        <f>'Risk Register'!A29</f>
        <v>0</v>
      </c>
      <c r="B36" t="str">
        <f>'Risk Register'!AB29</f>
        <v/>
      </c>
    </row>
    <row r="37" spans="1:2" x14ac:dyDescent="0.35">
      <c r="A37">
        <f>'Risk Register'!A30</f>
        <v>0</v>
      </c>
      <c r="B37" t="str">
        <f>'Risk Register'!AB30</f>
        <v/>
      </c>
    </row>
    <row r="38" spans="1:2" x14ac:dyDescent="0.35">
      <c r="A38">
        <f>'Risk Register'!A31</f>
        <v>0</v>
      </c>
      <c r="B38" t="str">
        <f>'Risk Register'!AB31</f>
        <v/>
      </c>
    </row>
    <row r="39" spans="1:2" x14ac:dyDescent="0.35">
      <c r="A39">
        <f>'Risk Register'!A32</f>
        <v>0</v>
      </c>
      <c r="B39" t="str">
        <f>'Risk Register'!AB32</f>
        <v/>
      </c>
    </row>
    <row r="40" spans="1:2" x14ac:dyDescent="0.35">
      <c r="A40">
        <f>'Risk Register'!A33</f>
        <v>0</v>
      </c>
      <c r="B40" t="str">
        <f>'Risk Register'!AB33</f>
        <v/>
      </c>
    </row>
    <row r="41" spans="1:2" x14ac:dyDescent="0.35">
      <c r="A41">
        <f>'Risk Register'!A34</f>
        <v>0</v>
      </c>
      <c r="B41" t="str">
        <f>'Risk Register'!AB34</f>
        <v/>
      </c>
    </row>
    <row r="42" spans="1:2" x14ac:dyDescent="0.35">
      <c r="A42">
        <f>'Risk Register'!A35</f>
        <v>0</v>
      </c>
      <c r="B42" t="str">
        <f>'Risk Register'!AB35</f>
        <v/>
      </c>
    </row>
    <row r="43" spans="1:2" x14ac:dyDescent="0.35">
      <c r="A43">
        <f>'Risk Register'!A36</f>
        <v>0</v>
      </c>
      <c r="B43" t="str">
        <f>'Risk Register'!AB36</f>
        <v/>
      </c>
    </row>
    <row r="44" spans="1:2" x14ac:dyDescent="0.35">
      <c r="A44">
        <f>'Risk Register'!A37</f>
        <v>0</v>
      </c>
      <c r="B44" t="str">
        <f>'Risk Register'!AB37</f>
        <v/>
      </c>
    </row>
    <row r="45" spans="1:2" x14ac:dyDescent="0.35">
      <c r="A45">
        <f>'Risk Register'!A38</f>
        <v>0</v>
      </c>
      <c r="B45" t="str">
        <f>'Risk Register'!AB38</f>
        <v/>
      </c>
    </row>
    <row r="46" spans="1:2" x14ac:dyDescent="0.35">
      <c r="A46">
        <f>'Risk Register'!A39</f>
        <v>0</v>
      </c>
      <c r="B46" t="str">
        <f>'Risk Register'!AB39</f>
        <v/>
      </c>
    </row>
    <row r="47" spans="1:2" x14ac:dyDescent="0.35">
      <c r="A47">
        <f>'Risk Register'!A40</f>
        <v>0</v>
      </c>
      <c r="B47" t="str">
        <f>'Risk Register'!AB40</f>
        <v/>
      </c>
    </row>
    <row r="48" spans="1:2" x14ac:dyDescent="0.35">
      <c r="A48">
        <f>'Risk Register'!A41</f>
        <v>0</v>
      </c>
      <c r="B48" t="str">
        <f>'Risk Register'!AB41</f>
        <v/>
      </c>
    </row>
    <row r="49" spans="1:2" x14ac:dyDescent="0.35">
      <c r="A49">
        <f>'Risk Register'!A42</f>
        <v>0</v>
      </c>
      <c r="B49" t="str">
        <f>'Risk Register'!AB42</f>
        <v/>
      </c>
    </row>
    <row r="50" spans="1:2" x14ac:dyDescent="0.35">
      <c r="A50">
        <f>'Risk Register'!A43</f>
        <v>0</v>
      </c>
      <c r="B50" t="str">
        <f>'Risk Register'!AB43</f>
        <v/>
      </c>
    </row>
    <row r="51" spans="1:2" x14ac:dyDescent="0.35">
      <c r="A51">
        <f>'Risk Register'!A44</f>
        <v>0</v>
      </c>
      <c r="B51" t="str">
        <f>'Risk Register'!AB44</f>
        <v/>
      </c>
    </row>
    <row r="54" spans="1:2" x14ac:dyDescent="0.35">
      <c r="A54" s="28" t="s">
        <v>237</v>
      </c>
      <c r="B54" s="28" t="s">
        <v>239</v>
      </c>
    </row>
    <row r="55" spans="1:2" x14ac:dyDescent="0.35">
      <c r="A55" t="str">
        <f>'Risk Register'!A5</f>
        <v>RSK001</v>
      </c>
      <c r="B55">
        <f>'Risk Register'!AD5</f>
        <v>101062.49999999999</v>
      </c>
    </row>
    <row r="56" spans="1:2" x14ac:dyDescent="0.35">
      <c r="A56" t="str">
        <f>'Risk Register'!A6</f>
        <v>RSK002</v>
      </c>
      <c r="B56">
        <f>'Risk Register'!AD6</f>
        <v>34270.833333333328</v>
      </c>
    </row>
    <row r="57" spans="1:2" x14ac:dyDescent="0.35">
      <c r="A57" t="str">
        <f>'Risk Register'!A7</f>
        <v>RSK003</v>
      </c>
      <c r="B57">
        <f>'Risk Register'!AD7</f>
        <v>0</v>
      </c>
    </row>
    <row r="58" spans="1:2" x14ac:dyDescent="0.35">
      <c r="A58" t="str">
        <f>'Risk Register'!A8</f>
        <v>RSK004</v>
      </c>
      <c r="B58">
        <f>'Risk Register'!AD8</f>
        <v>88375</v>
      </c>
    </row>
    <row r="59" spans="1:2" x14ac:dyDescent="0.35">
      <c r="A59" t="str">
        <f>'Risk Register'!A9</f>
        <v>RSK005</v>
      </c>
      <c r="B59">
        <f>'Risk Register'!AD9</f>
        <v>23333.333333333332</v>
      </c>
    </row>
    <row r="60" spans="1:2" x14ac:dyDescent="0.35">
      <c r="A60" t="str">
        <f>'Risk Register'!A10</f>
        <v>RSK006</v>
      </c>
      <c r="B60">
        <f>'Risk Register'!AD10</f>
        <v>0</v>
      </c>
    </row>
    <row r="61" spans="1:2" x14ac:dyDescent="0.35">
      <c r="A61">
        <f>'Risk Register'!A11</f>
        <v>0</v>
      </c>
      <c r="B61">
        <f>'Risk Register'!AD11</f>
        <v>0</v>
      </c>
    </row>
    <row r="62" spans="1:2" x14ac:dyDescent="0.35">
      <c r="A62">
        <f>'Risk Register'!A12</f>
        <v>0</v>
      </c>
      <c r="B62">
        <f>'Risk Register'!AD12</f>
        <v>0</v>
      </c>
    </row>
    <row r="63" spans="1:2" x14ac:dyDescent="0.35">
      <c r="A63">
        <f>'Risk Register'!A13</f>
        <v>0</v>
      </c>
      <c r="B63">
        <f>'Risk Register'!AD13</f>
        <v>0</v>
      </c>
    </row>
    <row r="64" spans="1:2" x14ac:dyDescent="0.35">
      <c r="A64">
        <f>'Risk Register'!A14</f>
        <v>0</v>
      </c>
      <c r="B64">
        <f>'Risk Register'!AD14</f>
        <v>0</v>
      </c>
    </row>
    <row r="65" spans="1:2" x14ac:dyDescent="0.35">
      <c r="A65">
        <f>'Risk Register'!A15</f>
        <v>0</v>
      </c>
      <c r="B65">
        <f>'Risk Register'!AD15</f>
        <v>0</v>
      </c>
    </row>
    <row r="66" spans="1:2" x14ac:dyDescent="0.35">
      <c r="A66">
        <f>'Risk Register'!A16</f>
        <v>0</v>
      </c>
      <c r="B66">
        <f>'Risk Register'!AD16</f>
        <v>0</v>
      </c>
    </row>
    <row r="67" spans="1:2" x14ac:dyDescent="0.35">
      <c r="A67">
        <f>'Risk Register'!A17</f>
        <v>0</v>
      </c>
      <c r="B67">
        <f>'Risk Register'!AD17</f>
        <v>0</v>
      </c>
    </row>
    <row r="68" spans="1:2" x14ac:dyDescent="0.35">
      <c r="A68">
        <f>'Risk Register'!A18</f>
        <v>0</v>
      </c>
      <c r="B68">
        <f>'Risk Register'!AD18</f>
        <v>0</v>
      </c>
    </row>
    <row r="69" spans="1:2" x14ac:dyDescent="0.35">
      <c r="A69">
        <f>'Risk Register'!A19</f>
        <v>0</v>
      </c>
      <c r="B69">
        <f>'Risk Register'!AD19</f>
        <v>0</v>
      </c>
    </row>
    <row r="70" spans="1:2" x14ac:dyDescent="0.35">
      <c r="A70">
        <f>'Risk Register'!A20</f>
        <v>0</v>
      </c>
      <c r="B70">
        <f>'Risk Register'!AD20</f>
        <v>0</v>
      </c>
    </row>
    <row r="71" spans="1:2" x14ac:dyDescent="0.35">
      <c r="A71">
        <f>'Risk Register'!A21</f>
        <v>0</v>
      </c>
      <c r="B71">
        <f>'Risk Register'!AD21</f>
        <v>0</v>
      </c>
    </row>
    <row r="72" spans="1:2" x14ac:dyDescent="0.35">
      <c r="A72">
        <f>'Risk Register'!A22</f>
        <v>0</v>
      </c>
      <c r="B72">
        <f>'Risk Register'!AD22</f>
        <v>0</v>
      </c>
    </row>
    <row r="73" spans="1:2" x14ac:dyDescent="0.35">
      <c r="A73">
        <f>'Risk Register'!A23</f>
        <v>0</v>
      </c>
      <c r="B73">
        <f>'Risk Register'!AD23</f>
        <v>0</v>
      </c>
    </row>
    <row r="74" spans="1:2" x14ac:dyDescent="0.35">
      <c r="A74">
        <f>'Risk Register'!A24</f>
        <v>0</v>
      </c>
      <c r="B74">
        <f>'Risk Register'!AD24</f>
        <v>0</v>
      </c>
    </row>
    <row r="75" spans="1:2" x14ac:dyDescent="0.35">
      <c r="A75">
        <f>'Risk Register'!A25</f>
        <v>0</v>
      </c>
      <c r="B75">
        <f>'Risk Register'!AD25</f>
        <v>0</v>
      </c>
    </row>
    <row r="76" spans="1:2" x14ac:dyDescent="0.35">
      <c r="A76">
        <f>'Risk Register'!A26</f>
        <v>0</v>
      </c>
      <c r="B76">
        <f>'Risk Register'!AD26</f>
        <v>0</v>
      </c>
    </row>
    <row r="77" spans="1:2" x14ac:dyDescent="0.35">
      <c r="A77">
        <f>'Risk Register'!A27</f>
        <v>0</v>
      </c>
      <c r="B77">
        <f>'Risk Register'!AD27</f>
        <v>0</v>
      </c>
    </row>
    <row r="78" spans="1:2" x14ac:dyDescent="0.35">
      <c r="A78">
        <f>'Risk Register'!A28</f>
        <v>0</v>
      </c>
      <c r="B78">
        <f>'Risk Register'!AD28</f>
        <v>0</v>
      </c>
    </row>
    <row r="79" spans="1:2" x14ac:dyDescent="0.35">
      <c r="A79">
        <f>'Risk Register'!A29</f>
        <v>0</v>
      </c>
      <c r="B79">
        <f>'Risk Register'!AD29</f>
        <v>0</v>
      </c>
    </row>
    <row r="80" spans="1:2" x14ac:dyDescent="0.35">
      <c r="A80">
        <f>'Risk Register'!A30</f>
        <v>0</v>
      </c>
      <c r="B80">
        <f>'Risk Register'!AD30</f>
        <v>0</v>
      </c>
    </row>
    <row r="81" spans="1:2" x14ac:dyDescent="0.35">
      <c r="A81">
        <f>'Risk Register'!A31</f>
        <v>0</v>
      </c>
      <c r="B81">
        <f>'Risk Register'!AD31</f>
        <v>0</v>
      </c>
    </row>
    <row r="82" spans="1:2" x14ac:dyDescent="0.35">
      <c r="A82">
        <f>'Risk Register'!A32</f>
        <v>0</v>
      </c>
      <c r="B82">
        <f>'Risk Register'!AD32</f>
        <v>0</v>
      </c>
    </row>
    <row r="83" spans="1:2" x14ac:dyDescent="0.35">
      <c r="A83">
        <f>'Risk Register'!A33</f>
        <v>0</v>
      </c>
      <c r="B83">
        <f>'Risk Register'!AD33</f>
        <v>0</v>
      </c>
    </row>
    <row r="84" spans="1:2" x14ac:dyDescent="0.35">
      <c r="A84">
        <f>'Risk Register'!A34</f>
        <v>0</v>
      </c>
      <c r="B84">
        <f>'Risk Register'!AD34</f>
        <v>0</v>
      </c>
    </row>
    <row r="85" spans="1:2" x14ac:dyDescent="0.35">
      <c r="A85">
        <f>'Risk Register'!A35</f>
        <v>0</v>
      </c>
      <c r="B85">
        <f>'Risk Register'!AD35</f>
        <v>0</v>
      </c>
    </row>
    <row r="86" spans="1:2" x14ac:dyDescent="0.35">
      <c r="A86">
        <f>'Risk Register'!A36</f>
        <v>0</v>
      </c>
      <c r="B86">
        <f>'Risk Register'!AD36</f>
        <v>0</v>
      </c>
    </row>
    <row r="87" spans="1:2" x14ac:dyDescent="0.35">
      <c r="A87">
        <f>'Risk Register'!A37</f>
        <v>0</v>
      </c>
      <c r="B87">
        <f>'Risk Register'!AD37</f>
        <v>0</v>
      </c>
    </row>
    <row r="88" spans="1:2" x14ac:dyDescent="0.35">
      <c r="A88">
        <f>'Risk Register'!A38</f>
        <v>0</v>
      </c>
      <c r="B88">
        <f>'Risk Register'!AD38</f>
        <v>0</v>
      </c>
    </row>
    <row r="89" spans="1:2" x14ac:dyDescent="0.35">
      <c r="A89">
        <f>'Risk Register'!A39</f>
        <v>0</v>
      </c>
      <c r="B89">
        <f>'Risk Register'!AD39</f>
        <v>0</v>
      </c>
    </row>
    <row r="90" spans="1:2" x14ac:dyDescent="0.35">
      <c r="A90">
        <f>'Risk Register'!A40</f>
        <v>0</v>
      </c>
      <c r="B90">
        <f>'Risk Register'!AD40</f>
        <v>0</v>
      </c>
    </row>
    <row r="91" spans="1:2" x14ac:dyDescent="0.35">
      <c r="A91">
        <f>'Risk Register'!A41</f>
        <v>0</v>
      </c>
      <c r="B91">
        <f>'Risk Register'!AD41</f>
        <v>0</v>
      </c>
    </row>
    <row r="92" spans="1:2" x14ac:dyDescent="0.35">
      <c r="A92">
        <f>'Risk Register'!A42</f>
        <v>0</v>
      </c>
      <c r="B92">
        <f>'Risk Register'!AD42</f>
        <v>0</v>
      </c>
    </row>
    <row r="93" spans="1:2" x14ac:dyDescent="0.35">
      <c r="A93">
        <f>'Risk Register'!A43</f>
        <v>0</v>
      </c>
      <c r="B93">
        <f>'Risk Register'!AD43</f>
        <v>0</v>
      </c>
    </row>
    <row r="94" spans="1:2" x14ac:dyDescent="0.35">
      <c r="A94">
        <f>'Risk Register'!A44</f>
        <v>0</v>
      </c>
      <c r="B94">
        <f>'Risk Register'!AD44</f>
        <v>0</v>
      </c>
    </row>
    <row r="97" spans="1:2" x14ac:dyDescent="0.35">
      <c r="A97" s="28" t="s">
        <v>240</v>
      </c>
      <c r="B97" s="28" t="s">
        <v>241</v>
      </c>
    </row>
    <row r="98" spans="1:2" x14ac:dyDescent="0.35">
      <c r="A98" t="s">
        <v>242</v>
      </c>
      <c r="B98">
        <f>B5</f>
        <v>0</v>
      </c>
    </row>
    <row r="99" spans="1:2" x14ac:dyDescent="0.35">
      <c r="A99" t="s">
        <v>243</v>
      </c>
      <c r="B99">
        <f>B6</f>
        <v>247041.66666666666</v>
      </c>
    </row>
  </sheetData>
  <sheetProtection sheet="1"/>
  <pageMargins left="0.75" right="0.75" top="1" bottom="1" header="0.5" footer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6E0B4"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</cols>
  <sheetData>
    <row r="1" spans="1:9" x14ac:dyDescent="0.35">
      <c r="A1" s="8" t="s">
        <v>244</v>
      </c>
      <c r="B1" s="9" t="s">
        <v>245</v>
      </c>
      <c r="C1" s="9" t="s">
        <v>246</v>
      </c>
      <c r="D1" s="9" t="s">
        <v>247</v>
      </c>
      <c r="E1" s="9" t="s">
        <v>248</v>
      </c>
      <c r="F1" s="9" t="s">
        <v>249</v>
      </c>
      <c r="G1" s="9" t="s">
        <v>250</v>
      </c>
      <c r="H1" s="9" t="s">
        <v>251</v>
      </c>
      <c r="I1" s="9" t="s">
        <v>252</v>
      </c>
    </row>
    <row r="2" spans="1:9" x14ac:dyDescent="0.35">
      <c r="A2" s="9" t="s">
        <v>253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9" t="s">
        <v>254</v>
      </c>
      <c r="B3" s="9"/>
      <c r="C3" s="9"/>
      <c r="D3" s="9"/>
      <c r="E3" s="9"/>
      <c r="F3" s="9"/>
      <c r="G3" s="9"/>
      <c r="H3" s="9"/>
      <c r="I3" s="9"/>
    </row>
    <row r="4" spans="1:9" x14ac:dyDescent="0.35">
      <c r="A4" s="9" t="s">
        <v>255</v>
      </c>
      <c r="B4" s="9"/>
      <c r="C4" s="9"/>
      <c r="D4" s="9"/>
      <c r="E4" s="9"/>
      <c r="F4" s="9"/>
      <c r="G4" s="9"/>
      <c r="H4" s="9"/>
      <c r="I4" s="9"/>
    </row>
    <row r="5" spans="1:9" x14ac:dyDescent="0.35">
      <c r="A5" s="9" t="s">
        <v>256</v>
      </c>
      <c r="B5" s="9"/>
      <c r="C5" s="9"/>
      <c r="D5" s="9"/>
      <c r="E5" s="9"/>
      <c r="F5" s="9"/>
      <c r="G5" s="9"/>
      <c r="H5" s="9"/>
      <c r="I5" s="9"/>
    </row>
    <row r="6" spans="1:9" x14ac:dyDescent="0.35">
      <c r="A6" s="9" t="s">
        <v>257</v>
      </c>
      <c r="B6" s="9"/>
      <c r="C6" s="9"/>
      <c r="D6" s="9"/>
      <c r="E6" s="9"/>
      <c r="F6" s="9"/>
      <c r="G6" s="9"/>
      <c r="H6" s="9"/>
      <c r="I6" s="9"/>
    </row>
    <row r="7" spans="1:9" x14ac:dyDescent="0.35">
      <c r="A7" s="9" t="s">
        <v>258</v>
      </c>
      <c r="B7" s="9"/>
      <c r="C7" s="9"/>
      <c r="D7" s="9"/>
      <c r="E7" s="9"/>
      <c r="F7" s="9"/>
      <c r="G7" s="9"/>
      <c r="H7" s="9"/>
      <c r="I7" s="9"/>
    </row>
    <row r="8" spans="1:9" x14ac:dyDescent="0.35">
      <c r="A8" s="9" t="s">
        <v>259</v>
      </c>
      <c r="B8" s="9"/>
      <c r="C8" s="9"/>
      <c r="D8" s="9"/>
      <c r="E8" s="9"/>
      <c r="F8" s="9"/>
      <c r="G8" s="9"/>
      <c r="H8" s="9"/>
      <c r="I8" s="9"/>
    </row>
    <row r="9" spans="1:9" x14ac:dyDescent="0.35">
      <c r="A9" s="9" t="s">
        <v>260</v>
      </c>
      <c r="B9" s="9"/>
      <c r="C9" s="9"/>
      <c r="D9" s="9"/>
      <c r="E9" s="9"/>
      <c r="F9" s="9"/>
      <c r="G9" s="9"/>
      <c r="H9" s="9"/>
      <c r="I9" s="9"/>
    </row>
    <row r="10" spans="1:9" x14ac:dyDescent="0.35">
      <c r="A10" s="9" t="s">
        <v>261</v>
      </c>
      <c r="B10" s="9"/>
      <c r="C10" s="9"/>
      <c r="D10" s="9"/>
      <c r="E10" s="9"/>
      <c r="F10" s="9"/>
      <c r="G10" s="9"/>
      <c r="H10" s="9"/>
      <c r="I10" s="9"/>
    </row>
    <row r="11" spans="1:9" x14ac:dyDescent="0.35">
      <c r="A11" s="9" t="s">
        <v>262</v>
      </c>
      <c r="B11" s="9"/>
      <c r="C11" s="9"/>
      <c r="D11" s="9"/>
      <c r="E11" s="9"/>
      <c r="F11" s="9"/>
      <c r="G11" s="9"/>
      <c r="H11" s="9"/>
      <c r="I11" s="9"/>
    </row>
    <row r="12" spans="1:9" x14ac:dyDescent="0.35">
      <c r="A12" s="9" t="s">
        <v>263</v>
      </c>
      <c r="B12" s="9"/>
      <c r="C12" s="9"/>
      <c r="D12" s="9"/>
      <c r="E12" s="9"/>
      <c r="F12" s="9"/>
      <c r="G12" s="9"/>
      <c r="H12" s="9"/>
      <c r="I12" s="9"/>
    </row>
    <row r="13" spans="1:9" x14ac:dyDescent="0.35">
      <c r="A13" s="9" t="s">
        <v>264</v>
      </c>
      <c r="B13" s="9"/>
      <c r="C13" s="9"/>
      <c r="D13" s="9"/>
      <c r="E13" s="9"/>
      <c r="F13" s="9"/>
      <c r="G13" s="9"/>
      <c r="H13" s="9"/>
      <c r="I13" s="9"/>
    </row>
    <row r="14" spans="1:9" x14ac:dyDescent="0.3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35">
      <c r="A15" s="8" t="s">
        <v>265</v>
      </c>
      <c r="B15" s="9"/>
      <c r="C15" s="8"/>
      <c r="D15" s="8"/>
      <c r="E15" s="8"/>
      <c r="F15" s="8"/>
      <c r="G15" s="8"/>
      <c r="H15" s="8"/>
      <c r="I15" s="8"/>
    </row>
    <row r="16" spans="1:9" x14ac:dyDescent="0.35">
      <c r="A16" s="8" t="s">
        <v>266</v>
      </c>
      <c r="B16" s="8" t="s">
        <v>267</v>
      </c>
      <c r="C16" s="8"/>
      <c r="D16" s="8"/>
      <c r="E16" s="8"/>
      <c r="F16" s="8"/>
      <c r="G16" s="8"/>
      <c r="H16" s="8"/>
      <c r="I16" s="8"/>
    </row>
  </sheetData>
  <sheetProtection sheet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6E0B4"/>
  </sheetPr>
  <dimension ref="A1:F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</cols>
  <sheetData>
    <row r="1" spans="1:6" x14ac:dyDescent="0.35">
      <c r="A1" s="24" t="s">
        <v>134</v>
      </c>
      <c r="B1" s="24" t="s">
        <v>268</v>
      </c>
      <c r="C1" s="24" t="s">
        <v>269</v>
      </c>
      <c r="D1" s="24" t="s">
        <v>270</v>
      </c>
      <c r="E1" s="24" t="s">
        <v>271</v>
      </c>
      <c r="F1" s="24" t="s">
        <v>272</v>
      </c>
    </row>
    <row r="2" spans="1:6" x14ac:dyDescent="0.35">
      <c r="A2" s="9"/>
      <c r="B2" s="9"/>
      <c r="C2" s="9"/>
      <c r="D2" s="9"/>
      <c r="E2" s="9"/>
      <c r="F2" s="9"/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9"/>
      <c r="B4" s="9"/>
      <c r="C4" s="9"/>
      <c r="D4" s="9"/>
      <c r="E4" s="9"/>
      <c r="F4" s="9"/>
    </row>
    <row r="5" spans="1:6" x14ac:dyDescent="0.35">
      <c r="A5" s="9"/>
      <c r="B5" s="9"/>
      <c r="C5" s="9"/>
      <c r="D5" s="9"/>
      <c r="E5" s="9"/>
      <c r="F5" s="9"/>
    </row>
    <row r="6" spans="1:6" x14ac:dyDescent="0.35">
      <c r="A6" s="9"/>
      <c r="B6" s="9"/>
      <c r="C6" s="9"/>
      <c r="D6" s="9"/>
      <c r="E6" s="9"/>
      <c r="F6" s="9"/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9"/>
      <c r="B8" s="9"/>
      <c r="C8" s="9"/>
      <c r="D8" s="9"/>
      <c r="E8" s="9"/>
      <c r="F8" s="9"/>
    </row>
    <row r="9" spans="1:6" x14ac:dyDescent="0.35">
      <c r="A9" s="9"/>
      <c r="B9" s="9"/>
      <c r="C9" s="9"/>
      <c r="D9" s="9"/>
      <c r="E9" s="9"/>
      <c r="F9" s="9"/>
    </row>
    <row r="10" spans="1:6" x14ac:dyDescent="0.35">
      <c r="A10" s="9"/>
      <c r="B10" s="9"/>
      <c r="C10" s="9"/>
      <c r="D10" s="9"/>
      <c r="E10" s="9"/>
      <c r="F10" s="9"/>
    </row>
    <row r="11" spans="1:6" x14ac:dyDescent="0.35">
      <c r="A11" s="9"/>
      <c r="B11" s="9"/>
      <c r="C11" s="9"/>
      <c r="D11" s="9"/>
      <c r="E11" s="9"/>
      <c r="F11" s="9"/>
    </row>
    <row r="12" spans="1:6" x14ac:dyDescent="0.35">
      <c r="A12" s="9"/>
      <c r="B12" s="9"/>
      <c r="C12" s="9"/>
      <c r="D12" s="9"/>
      <c r="E12" s="9"/>
      <c r="F12" s="9"/>
    </row>
    <row r="13" spans="1:6" x14ac:dyDescent="0.35">
      <c r="A13" s="9"/>
      <c r="B13" s="9"/>
      <c r="C13" s="9"/>
      <c r="D13" s="9"/>
      <c r="E13" s="9"/>
      <c r="F13" s="9"/>
    </row>
    <row r="14" spans="1:6" x14ac:dyDescent="0.35">
      <c r="A14" s="9"/>
      <c r="B14" s="9"/>
      <c r="C14" s="9"/>
      <c r="D14" s="9"/>
      <c r="E14" s="9"/>
      <c r="F14" s="9"/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A17" s="9"/>
      <c r="B17" s="9"/>
      <c r="C17" s="9"/>
      <c r="D17" s="9"/>
      <c r="E17" s="9"/>
      <c r="F17" s="9"/>
    </row>
    <row r="18" spans="1:6" x14ac:dyDescent="0.35">
      <c r="A18" s="9"/>
      <c r="B18" s="9"/>
      <c r="C18" s="9"/>
      <c r="D18" s="9"/>
      <c r="E18" s="9"/>
      <c r="F18" s="9"/>
    </row>
    <row r="19" spans="1:6" x14ac:dyDescent="0.35">
      <c r="A19" s="9"/>
      <c r="B19" s="9"/>
      <c r="C19" s="9"/>
      <c r="D19" s="9"/>
      <c r="E19" s="9"/>
      <c r="F19" s="9"/>
    </row>
    <row r="20" spans="1:6" x14ac:dyDescent="0.35">
      <c r="A20" s="9"/>
      <c r="B20" s="9"/>
      <c r="C20" s="9"/>
      <c r="D20" s="9"/>
      <c r="E20" s="9"/>
      <c r="F20" s="9"/>
    </row>
    <row r="21" spans="1:6" x14ac:dyDescent="0.35">
      <c r="A21" s="9"/>
      <c r="B21" s="9"/>
      <c r="C21" s="9"/>
      <c r="D21" s="9"/>
      <c r="E21" s="9"/>
      <c r="F21" s="9"/>
    </row>
    <row r="22" spans="1:6" x14ac:dyDescent="0.35">
      <c r="A22" s="9"/>
      <c r="B22" s="9"/>
      <c r="C22" s="9"/>
      <c r="D22" s="9"/>
      <c r="E22" s="9"/>
      <c r="F22" s="9"/>
    </row>
    <row r="23" spans="1:6" x14ac:dyDescent="0.35">
      <c r="A23" s="9"/>
      <c r="B23" s="9"/>
      <c r="C23" s="9"/>
      <c r="D23" s="9"/>
      <c r="E23" s="9"/>
      <c r="F23" s="9"/>
    </row>
    <row r="24" spans="1:6" x14ac:dyDescent="0.35">
      <c r="A24" s="9"/>
      <c r="B24" s="9"/>
      <c r="C24" s="9"/>
      <c r="D24" s="9"/>
      <c r="E24" s="9"/>
      <c r="F24" s="9"/>
    </row>
    <row r="25" spans="1:6" x14ac:dyDescent="0.35">
      <c r="A25" s="9"/>
      <c r="B25" s="9"/>
      <c r="C25" s="9"/>
      <c r="D25" s="9"/>
      <c r="E25" s="9"/>
      <c r="F25" s="9"/>
    </row>
    <row r="26" spans="1:6" x14ac:dyDescent="0.35">
      <c r="A26" s="9"/>
      <c r="B26" s="9"/>
      <c r="C26" s="9"/>
      <c r="D26" s="9"/>
      <c r="E26" s="9"/>
      <c r="F26" s="9"/>
    </row>
  </sheetData>
  <sheetProtection sheet="1" insertRows="0" sort="0" autoFilter="0"/>
  <dataValidations count="1">
    <dataValidation type="list" allowBlank="1" errorTitle="Invalid Factor" error="Choose from the Factor cascade list (edit it on the Lists tab)." sqref="A2:A100" xr:uid="{00000000-0002-0000-0B00-000000000000}">
      <formula1>List_Factor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6E0B4"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</cols>
  <sheetData>
    <row r="1" spans="1:13" x14ac:dyDescent="0.35">
      <c r="A1" s="8" t="s">
        <v>134</v>
      </c>
      <c r="B1" s="9" t="s">
        <v>253</v>
      </c>
      <c r="C1" s="9" t="s">
        <v>254</v>
      </c>
      <c r="D1" s="9" t="s">
        <v>255</v>
      </c>
      <c r="E1" s="9" t="s">
        <v>256</v>
      </c>
      <c r="F1" s="9" t="s">
        <v>257</v>
      </c>
      <c r="G1" s="9" t="s">
        <v>258</v>
      </c>
      <c r="H1" s="9" t="s">
        <v>259</v>
      </c>
      <c r="I1" s="9" t="s">
        <v>260</v>
      </c>
      <c r="J1" s="9" t="s">
        <v>261</v>
      </c>
      <c r="K1" s="9" t="s">
        <v>262</v>
      </c>
      <c r="L1" s="9" t="s">
        <v>263</v>
      </c>
      <c r="M1" s="9" t="s">
        <v>264</v>
      </c>
    </row>
    <row r="2" spans="1:13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</sheetData>
  <sheetProtection sheet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6E0B4"/>
  </sheetPr>
  <dimension ref="A1:Z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</cols>
  <sheetData>
    <row r="1" spans="1:26" x14ac:dyDescent="0.35">
      <c r="A1" s="8" t="s">
        <v>273</v>
      </c>
      <c r="B1" s="9" t="s">
        <v>274</v>
      </c>
      <c r="C1" s="8" t="s">
        <v>275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5">
      <c r="A2" s="8" t="s">
        <v>276</v>
      </c>
      <c r="B2" s="8" t="s">
        <v>277</v>
      </c>
      <c r="C2" s="8" t="s">
        <v>278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5">
      <c r="A4" s="29" t="s">
        <v>134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35">
      <c r="A5" s="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x14ac:dyDescent="0.35">
      <c r="A6" s="9"/>
      <c r="B6" s="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x14ac:dyDescent="0.35">
      <c r="A7" s="9"/>
      <c r="B7" s="9"/>
      <c r="C7" s="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x14ac:dyDescent="0.35">
      <c r="A8" s="9"/>
      <c r="B8" s="9"/>
      <c r="C8" s="9"/>
      <c r="D8" s="9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35">
      <c r="A9" s="9"/>
      <c r="B9" s="9"/>
      <c r="C9" s="9"/>
      <c r="D9" s="9"/>
      <c r="E9" s="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35">
      <c r="A10" s="9"/>
      <c r="B10" s="9"/>
      <c r="C10" s="9"/>
      <c r="D10" s="9"/>
      <c r="E10" s="9"/>
      <c r="F10" s="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x14ac:dyDescent="0.35">
      <c r="A11" s="9"/>
      <c r="B11" s="9"/>
      <c r="C11" s="9"/>
      <c r="D11" s="9"/>
      <c r="E11" s="9"/>
      <c r="F11" s="9"/>
      <c r="G11" s="9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x14ac:dyDescent="0.35">
      <c r="A12" s="9"/>
      <c r="B12" s="9"/>
      <c r="C12" s="9"/>
      <c r="D12" s="9"/>
      <c r="E12" s="9"/>
      <c r="F12" s="9"/>
      <c r="G12" s="9"/>
      <c r="H12" s="9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35">
      <c r="A13" s="9"/>
      <c r="B13" s="9"/>
      <c r="C13" s="9"/>
      <c r="D13" s="9"/>
      <c r="E13" s="9"/>
      <c r="F13" s="9"/>
      <c r="G13" s="9"/>
      <c r="H13" s="9"/>
      <c r="I13" s="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30"/>
      <c r="S21" s="30"/>
      <c r="T21" s="30"/>
      <c r="U21" s="30"/>
      <c r="V21" s="30"/>
      <c r="W21" s="30"/>
      <c r="X21" s="30"/>
      <c r="Y21" s="30"/>
      <c r="Z21" s="30"/>
    </row>
    <row r="22" spans="1:26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30"/>
      <c r="T22" s="30"/>
      <c r="U22" s="30"/>
      <c r="V22" s="30"/>
      <c r="W22" s="30"/>
      <c r="X22" s="30"/>
      <c r="Y22" s="30"/>
      <c r="Z22" s="30"/>
    </row>
    <row r="23" spans="1:26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30"/>
      <c r="U23" s="30"/>
      <c r="V23" s="30"/>
      <c r="W23" s="30"/>
      <c r="X23" s="30"/>
      <c r="Y23" s="30"/>
      <c r="Z23" s="30"/>
    </row>
    <row r="24" spans="1:26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30"/>
      <c r="V24" s="30"/>
      <c r="W24" s="30"/>
      <c r="X24" s="30"/>
      <c r="Y24" s="30"/>
      <c r="Z24" s="30"/>
    </row>
    <row r="25" spans="1:26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30"/>
      <c r="W25" s="30"/>
      <c r="X25" s="30"/>
      <c r="Y25" s="30"/>
      <c r="Z25" s="30"/>
    </row>
    <row r="26" spans="1:26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30"/>
      <c r="X26" s="30"/>
      <c r="Y26" s="30"/>
      <c r="Z26" s="30"/>
    </row>
    <row r="27" spans="1:26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30"/>
      <c r="Y27" s="30"/>
      <c r="Z27" s="30"/>
    </row>
    <row r="28" spans="1:26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30"/>
      <c r="Z28" s="30"/>
    </row>
    <row r="29" spans="1:26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30"/>
    </row>
  </sheetData>
  <sheetProtection sheet="1"/>
  <dataValidations count="1">
    <dataValidation type="list" allowBlank="1" errorTitle="Invalid Factor" error="Choose from the Factor cascade list (edit it on the Lists tab)." sqref="A5:A100" xr:uid="{00000000-0002-0000-0D00-000000000000}">
      <formula1>List_Factor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EA9DB"/>
  </sheetPr>
  <dimension ref="A1:C23"/>
  <sheetViews>
    <sheetView workbookViewId="0"/>
  </sheetViews>
  <sheetFormatPr defaultRowHeight="14.5" x14ac:dyDescent="0.35"/>
  <cols>
    <col min="1" max="1" width="18" customWidth="1"/>
    <col min="2" max="2" width="24" customWidth="1"/>
    <col min="3" max="3" width="34" customWidth="1"/>
  </cols>
  <sheetData>
    <row r="1" spans="1:3" x14ac:dyDescent="0.35">
      <c r="A1" s="8" t="s">
        <v>279</v>
      </c>
      <c r="B1" s="8" t="s">
        <v>280</v>
      </c>
      <c r="C1" s="8" t="s">
        <v>194</v>
      </c>
    </row>
    <row r="2" spans="1:3" x14ac:dyDescent="0.35">
      <c r="A2" s="8" t="s">
        <v>137</v>
      </c>
      <c r="B2" s="31">
        <v>0.5</v>
      </c>
      <c r="C2" s="9"/>
    </row>
    <row r="3" spans="1:3" x14ac:dyDescent="0.35">
      <c r="A3" s="8" t="s">
        <v>144</v>
      </c>
      <c r="B3" s="31">
        <v>0.5</v>
      </c>
      <c r="C3" s="9"/>
    </row>
    <row r="4" spans="1:3" x14ac:dyDescent="0.35">
      <c r="A4" s="8" t="s">
        <v>151</v>
      </c>
      <c r="B4" s="31">
        <v>0.5</v>
      </c>
      <c r="C4" s="9"/>
    </row>
    <row r="5" spans="1:3" x14ac:dyDescent="0.35">
      <c r="A5" s="8" t="s">
        <v>157</v>
      </c>
      <c r="B5" s="31">
        <v>0.5</v>
      </c>
      <c r="C5" s="9"/>
    </row>
    <row r="6" spans="1:3" x14ac:dyDescent="0.35">
      <c r="A6" s="8" t="s">
        <v>163</v>
      </c>
      <c r="B6" s="31">
        <v>0.5</v>
      </c>
      <c r="C6" s="9"/>
    </row>
    <row r="7" spans="1:3" x14ac:dyDescent="0.35">
      <c r="A7" s="8" t="s">
        <v>168</v>
      </c>
      <c r="B7" s="31">
        <v>0.5</v>
      </c>
      <c r="C7" s="9"/>
    </row>
    <row r="8" spans="1:3" x14ac:dyDescent="0.35">
      <c r="A8" s="8" t="s">
        <v>173</v>
      </c>
      <c r="B8" s="31">
        <v>0.5</v>
      </c>
      <c r="C8" s="9"/>
    </row>
    <row r="9" spans="1:3" x14ac:dyDescent="0.35">
      <c r="A9" s="8" t="s">
        <v>177</v>
      </c>
      <c r="B9" s="31">
        <v>0.5</v>
      </c>
      <c r="C9" s="9"/>
    </row>
    <row r="10" spans="1:3" x14ac:dyDescent="0.35">
      <c r="A10" s="8" t="s">
        <v>178</v>
      </c>
      <c r="B10" s="31">
        <v>0.5</v>
      </c>
      <c r="C10" s="9"/>
    </row>
    <row r="11" spans="1:3" x14ac:dyDescent="0.35">
      <c r="A11" s="8" t="s">
        <v>179</v>
      </c>
      <c r="B11" s="31">
        <v>0.5</v>
      </c>
      <c r="C11" s="9"/>
    </row>
    <row r="12" spans="1:3" x14ac:dyDescent="0.35">
      <c r="A12" s="8" t="s">
        <v>180</v>
      </c>
      <c r="B12" s="31">
        <v>0.5</v>
      </c>
      <c r="C12" s="9"/>
    </row>
    <row r="13" spans="1:3" x14ac:dyDescent="0.35">
      <c r="A13" s="8" t="s">
        <v>181</v>
      </c>
      <c r="B13" s="31">
        <v>0.5</v>
      </c>
      <c r="C13" s="9"/>
    </row>
    <row r="14" spans="1:3" x14ac:dyDescent="0.35">
      <c r="A14" s="8" t="s">
        <v>182</v>
      </c>
      <c r="B14" s="31">
        <v>0.5</v>
      </c>
      <c r="C14" s="9"/>
    </row>
    <row r="15" spans="1:3" x14ac:dyDescent="0.35">
      <c r="A15" s="8" t="s">
        <v>118</v>
      </c>
      <c r="B15" s="32">
        <v>1</v>
      </c>
      <c r="C15" s="8"/>
    </row>
    <row r="16" spans="1:3" x14ac:dyDescent="0.35">
      <c r="A16" s="8" t="s">
        <v>120</v>
      </c>
      <c r="B16" s="32">
        <v>0.5</v>
      </c>
      <c r="C16" s="8"/>
    </row>
    <row r="17" spans="1:3" x14ac:dyDescent="0.35">
      <c r="A17" s="8" t="s">
        <v>122</v>
      </c>
      <c r="B17" s="32">
        <v>0</v>
      </c>
      <c r="C17" s="8"/>
    </row>
    <row r="18" spans="1:3" x14ac:dyDescent="0.35">
      <c r="A18" s="8" t="s">
        <v>281</v>
      </c>
      <c r="B18" s="31">
        <v>50000</v>
      </c>
      <c r="C18" s="9" t="s">
        <v>282</v>
      </c>
    </row>
    <row r="19" spans="1:3" x14ac:dyDescent="0.35">
      <c r="A19" s="8" t="s">
        <v>283</v>
      </c>
      <c r="B19" s="31">
        <v>1E-3</v>
      </c>
      <c r="C19" s="9" t="s">
        <v>284</v>
      </c>
    </row>
    <row r="20" spans="1:3" x14ac:dyDescent="0.35">
      <c r="A20" s="8" t="s">
        <v>285</v>
      </c>
      <c r="B20" s="31">
        <v>1</v>
      </c>
      <c r="C20" s="9" t="s">
        <v>286</v>
      </c>
    </row>
    <row r="21" spans="1:3" x14ac:dyDescent="0.35">
      <c r="A21" s="8" t="s">
        <v>287</v>
      </c>
      <c r="B21" s="31">
        <v>0.05</v>
      </c>
      <c r="C21" s="9" t="s">
        <v>288</v>
      </c>
    </row>
    <row r="22" spans="1:3" x14ac:dyDescent="0.35">
      <c r="A22" s="8" t="s">
        <v>289</v>
      </c>
      <c r="B22" s="31">
        <v>0.02</v>
      </c>
      <c r="C22" s="9" t="s">
        <v>290</v>
      </c>
    </row>
    <row r="23" spans="1:3" x14ac:dyDescent="0.35">
      <c r="A23" s="8" t="s">
        <v>291</v>
      </c>
      <c r="B23" s="9" t="s">
        <v>292</v>
      </c>
      <c r="C23" s="9" t="s">
        <v>293</v>
      </c>
    </row>
  </sheetData>
  <sheetProtection sheet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EA9DB"/>
  </sheetPr>
  <dimension ref="A1:B8"/>
  <sheetViews>
    <sheetView workbookViewId="0"/>
  </sheetViews>
  <sheetFormatPr defaultRowHeight="14.5" x14ac:dyDescent="0.35"/>
  <cols>
    <col min="1" max="1" width="34" customWidth="1"/>
    <col min="2" max="2" width="16" customWidth="1"/>
  </cols>
  <sheetData>
    <row r="1" spans="1:2" x14ac:dyDescent="0.35">
      <c r="A1" t="s">
        <v>294</v>
      </c>
      <c r="B1" s="9">
        <v>25000</v>
      </c>
    </row>
    <row r="2" spans="1:2" x14ac:dyDescent="0.35">
      <c r="A2" t="s">
        <v>295</v>
      </c>
      <c r="B2" s="9">
        <v>42</v>
      </c>
    </row>
    <row r="3" spans="1:2" x14ac:dyDescent="0.35">
      <c r="A3" t="s">
        <v>296</v>
      </c>
      <c r="B3" s="9" t="s">
        <v>297</v>
      </c>
    </row>
    <row r="4" spans="1:2" x14ac:dyDescent="0.35">
      <c r="A4" t="s">
        <v>298</v>
      </c>
      <c r="B4" s="9" t="s">
        <v>299</v>
      </c>
    </row>
    <row r="5" spans="1:2" x14ac:dyDescent="0.35">
      <c r="A5" t="s">
        <v>300</v>
      </c>
      <c r="B5" s="9">
        <v>100000</v>
      </c>
    </row>
    <row r="6" spans="1:2" x14ac:dyDescent="0.35">
      <c r="A6" t="s">
        <v>301</v>
      </c>
      <c r="B6" s="8" t="s">
        <v>302</v>
      </c>
    </row>
    <row r="7" spans="1:2" x14ac:dyDescent="0.35">
      <c r="A7" t="s">
        <v>303</v>
      </c>
      <c r="B7" t="s">
        <v>304</v>
      </c>
    </row>
    <row r="8" spans="1:2" x14ac:dyDescent="0.35">
      <c r="A8" t="s">
        <v>305</v>
      </c>
      <c r="B8" s="9" t="b">
        <v>0</v>
      </c>
    </row>
  </sheetData>
  <sheetProtection sheet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CE4B6"/>
  </sheetPr>
  <dimension ref="A1:N102"/>
  <sheetViews>
    <sheetView workbookViewId="0"/>
  </sheetViews>
  <sheetFormatPr defaultRowHeight="14.5" x14ac:dyDescent="0.35"/>
  <sheetData>
    <row r="1" spans="1:14" x14ac:dyDescent="0.35">
      <c r="A1" t="s">
        <v>306</v>
      </c>
      <c r="B1" t="s">
        <v>307</v>
      </c>
      <c r="D1" t="s">
        <v>308</v>
      </c>
      <c r="E1" t="s">
        <v>307</v>
      </c>
      <c r="G1" t="s">
        <v>309</v>
      </c>
      <c r="H1" s="33"/>
      <c r="I1" t="s">
        <v>306</v>
      </c>
      <c r="J1" t="s">
        <v>310</v>
      </c>
      <c r="K1" t="s">
        <v>274</v>
      </c>
      <c r="L1" t="s">
        <v>311</v>
      </c>
      <c r="N1" s="28" t="s">
        <v>312</v>
      </c>
    </row>
    <row r="2" spans="1:14" x14ac:dyDescent="0.35">
      <c r="A2" s="33"/>
      <c r="B2" s="33"/>
      <c r="D2" s="33"/>
      <c r="E2" s="33"/>
      <c r="I2" s="33"/>
      <c r="J2" s="33"/>
      <c r="K2" s="33"/>
      <c r="L2" s="33"/>
      <c r="N2" s="33"/>
    </row>
    <row r="3" spans="1:14" x14ac:dyDescent="0.35">
      <c r="A3" s="33"/>
      <c r="B3" s="33"/>
      <c r="D3" s="33"/>
      <c r="E3" s="33"/>
      <c r="G3" t="s">
        <v>313</v>
      </c>
      <c r="H3" s="33"/>
      <c r="I3" s="33"/>
      <c r="J3" s="33"/>
      <c r="K3" s="33"/>
      <c r="L3" s="33"/>
      <c r="N3" s="33"/>
    </row>
    <row r="4" spans="1:14" x14ac:dyDescent="0.35">
      <c r="A4" s="33"/>
      <c r="B4" s="33"/>
      <c r="D4" s="33"/>
      <c r="E4" s="33"/>
      <c r="G4" t="s">
        <v>314</v>
      </c>
      <c r="H4" s="33"/>
      <c r="I4" s="33"/>
      <c r="J4" s="33"/>
      <c r="K4" s="33"/>
      <c r="L4" s="33"/>
    </row>
    <row r="5" spans="1:14" x14ac:dyDescent="0.35">
      <c r="A5" s="33"/>
      <c r="B5" s="33"/>
      <c r="D5" s="33"/>
      <c r="E5" s="33"/>
      <c r="I5" s="33"/>
      <c r="J5" s="33"/>
      <c r="K5" s="33"/>
      <c r="L5" s="33"/>
    </row>
    <row r="6" spans="1:14" x14ac:dyDescent="0.35">
      <c r="A6" s="33"/>
      <c r="B6" s="33"/>
      <c r="D6" s="33"/>
      <c r="E6" s="33"/>
      <c r="G6" s="27" t="s">
        <v>315</v>
      </c>
      <c r="I6" s="33"/>
      <c r="J6" s="33"/>
      <c r="K6" s="33"/>
      <c r="L6" s="33"/>
    </row>
    <row r="7" spans="1:14" x14ac:dyDescent="0.35">
      <c r="A7" s="33"/>
      <c r="B7" s="33"/>
      <c r="D7" s="33"/>
      <c r="E7" s="33"/>
      <c r="I7" s="33"/>
      <c r="J7" s="33"/>
      <c r="K7" s="33"/>
      <c r="L7" s="33"/>
    </row>
    <row r="8" spans="1:14" x14ac:dyDescent="0.35">
      <c r="A8" s="33"/>
      <c r="B8" s="33"/>
      <c r="D8" s="33"/>
      <c r="E8" s="33"/>
      <c r="I8" s="33"/>
      <c r="J8" s="33"/>
      <c r="K8" s="33"/>
      <c r="L8" s="33"/>
    </row>
    <row r="9" spans="1:14" x14ac:dyDescent="0.35">
      <c r="A9" s="33"/>
      <c r="B9" s="33"/>
      <c r="D9" s="33"/>
      <c r="E9" s="33"/>
      <c r="I9" s="33"/>
      <c r="J9" s="33"/>
      <c r="K9" s="33"/>
      <c r="L9" s="33"/>
    </row>
    <row r="10" spans="1:14" x14ac:dyDescent="0.35">
      <c r="A10" s="33"/>
      <c r="B10" s="33"/>
      <c r="D10" s="33"/>
      <c r="E10" s="33"/>
      <c r="I10" s="33"/>
      <c r="J10" s="33"/>
      <c r="K10" s="33"/>
      <c r="L10" s="33"/>
    </row>
    <row r="11" spans="1:14" x14ac:dyDescent="0.35">
      <c r="A11" s="33"/>
      <c r="B11" s="33"/>
      <c r="D11" s="33"/>
      <c r="E11" s="33"/>
      <c r="I11" s="33"/>
      <c r="J11" s="33"/>
      <c r="K11" s="33"/>
      <c r="L11" s="33"/>
    </row>
    <row r="12" spans="1:14" x14ac:dyDescent="0.35">
      <c r="A12" s="33"/>
      <c r="B12" s="33"/>
      <c r="D12" s="33"/>
      <c r="E12" s="33"/>
      <c r="I12" s="33"/>
      <c r="J12" s="33"/>
      <c r="K12" s="33"/>
      <c r="L12" s="33"/>
    </row>
    <row r="13" spans="1:14" x14ac:dyDescent="0.35">
      <c r="A13" s="33"/>
      <c r="B13" s="33"/>
      <c r="D13" s="33"/>
      <c r="E13" s="33"/>
      <c r="I13" s="33"/>
      <c r="J13" s="33"/>
      <c r="K13" s="33"/>
      <c r="L13" s="33"/>
    </row>
    <row r="14" spans="1:14" x14ac:dyDescent="0.35">
      <c r="A14" s="33"/>
      <c r="B14" s="33"/>
      <c r="D14" s="33"/>
      <c r="E14" s="33"/>
      <c r="I14" s="33"/>
      <c r="J14" s="33"/>
      <c r="K14" s="33"/>
      <c r="L14" s="33"/>
    </row>
    <row r="15" spans="1:14" x14ac:dyDescent="0.35">
      <c r="A15" s="33"/>
      <c r="B15" s="33"/>
      <c r="D15" s="33"/>
      <c r="E15" s="33"/>
      <c r="I15" s="33"/>
      <c r="J15" s="33"/>
      <c r="K15" s="33"/>
      <c r="L15" s="33"/>
    </row>
    <row r="16" spans="1:14" x14ac:dyDescent="0.35">
      <c r="A16" s="33"/>
      <c r="B16" s="33"/>
      <c r="D16" s="33"/>
      <c r="E16" s="33"/>
      <c r="I16" s="33"/>
      <c r="J16" s="33"/>
      <c r="K16" s="33"/>
      <c r="L16" s="33"/>
    </row>
    <row r="17" spans="1:12" x14ac:dyDescent="0.35">
      <c r="A17" s="33"/>
      <c r="B17" s="33"/>
      <c r="D17" s="33"/>
      <c r="E17" s="33"/>
      <c r="I17" s="33"/>
      <c r="J17" s="33"/>
      <c r="K17" s="33"/>
      <c r="L17" s="33"/>
    </row>
    <row r="18" spans="1:12" x14ac:dyDescent="0.35">
      <c r="A18" s="33"/>
      <c r="B18" s="33"/>
      <c r="D18" s="33"/>
      <c r="E18" s="33"/>
      <c r="I18" s="33"/>
      <c r="J18" s="33"/>
      <c r="K18" s="33"/>
      <c r="L18" s="33"/>
    </row>
    <row r="19" spans="1:12" x14ac:dyDescent="0.35">
      <c r="A19" s="33"/>
      <c r="B19" s="33"/>
      <c r="D19" s="33"/>
      <c r="E19" s="33"/>
      <c r="I19" s="33"/>
      <c r="J19" s="33"/>
      <c r="K19" s="33"/>
      <c r="L19" s="33"/>
    </row>
    <row r="20" spans="1:12" x14ac:dyDescent="0.35">
      <c r="A20" s="33"/>
      <c r="B20" s="33"/>
      <c r="D20" s="33"/>
      <c r="E20" s="33"/>
      <c r="I20" s="33"/>
      <c r="J20" s="33"/>
      <c r="K20" s="33"/>
      <c r="L20" s="33"/>
    </row>
    <row r="21" spans="1:12" x14ac:dyDescent="0.35">
      <c r="D21" s="33"/>
      <c r="E21" s="33"/>
    </row>
    <row r="22" spans="1:12" x14ac:dyDescent="0.35">
      <c r="A22" s="34" t="s">
        <v>316</v>
      </c>
      <c r="D22" s="33"/>
      <c r="E22" s="33"/>
    </row>
    <row r="23" spans="1:12" x14ac:dyDescent="0.35">
      <c r="D23" s="33"/>
      <c r="E23" s="33"/>
    </row>
    <row r="24" spans="1:12" x14ac:dyDescent="0.35">
      <c r="D24" s="33"/>
      <c r="E24" s="33"/>
    </row>
    <row r="25" spans="1:12" x14ac:dyDescent="0.35">
      <c r="D25" s="33"/>
      <c r="E25" s="33"/>
    </row>
    <row r="26" spans="1:12" x14ac:dyDescent="0.35">
      <c r="D26" s="33"/>
      <c r="E26" s="33"/>
    </row>
    <row r="27" spans="1:12" x14ac:dyDescent="0.35">
      <c r="D27" s="33"/>
      <c r="E27" s="33"/>
    </row>
    <row r="28" spans="1:12" x14ac:dyDescent="0.35">
      <c r="D28" s="33"/>
      <c r="E28" s="33"/>
    </row>
    <row r="29" spans="1:12" x14ac:dyDescent="0.35">
      <c r="D29" s="33"/>
      <c r="E29" s="33"/>
    </row>
    <row r="30" spans="1:12" x14ac:dyDescent="0.35">
      <c r="D30" s="33"/>
      <c r="E30" s="33"/>
    </row>
    <row r="31" spans="1:12" x14ac:dyDescent="0.35">
      <c r="D31" s="33"/>
      <c r="E31" s="33"/>
    </row>
    <row r="32" spans="1:12" x14ac:dyDescent="0.35">
      <c r="D32" s="33"/>
      <c r="E32" s="33"/>
    </row>
    <row r="33" spans="4:5" x14ac:dyDescent="0.35">
      <c r="D33" s="33"/>
      <c r="E33" s="33"/>
    </row>
    <row r="34" spans="4:5" x14ac:dyDescent="0.35">
      <c r="D34" s="33"/>
      <c r="E34" s="33"/>
    </row>
    <row r="35" spans="4:5" x14ac:dyDescent="0.35">
      <c r="D35" s="33"/>
      <c r="E35" s="33"/>
    </row>
    <row r="36" spans="4:5" x14ac:dyDescent="0.35">
      <c r="D36" s="33"/>
      <c r="E36" s="33"/>
    </row>
    <row r="37" spans="4:5" x14ac:dyDescent="0.35">
      <c r="D37" s="33"/>
      <c r="E37" s="33"/>
    </row>
    <row r="38" spans="4:5" x14ac:dyDescent="0.35">
      <c r="D38" s="33"/>
      <c r="E38" s="33"/>
    </row>
    <row r="39" spans="4:5" x14ac:dyDescent="0.35">
      <c r="D39" s="33"/>
      <c r="E39" s="33"/>
    </row>
    <row r="40" spans="4:5" x14ac:dyDescent="0.35">
      <c r="D40" s="33"/>
      <c r="E40" s="33"/>
    </row>
    <row r="41" spans="4:5" x14ac:dyDescent="0.35">
      <c r="D41" s="33"/>
      <c r="E41" s="33"/>
    </row>
    <row r="42" spans="4:5" x14ac:dyDescent="0.35">
      <c r="D42" s="33"/>
      <c r="E42" s="33"/>
    </row>
    <row r="43" spans="4:5" x14ac:dyDescent="0.35">
      <c r="D43" s="33"/>
      <c r="E43" s="33"/>
    </row>
    <row r="44" spans="4:5" x14ac:dyDescent="0.35">
      <c r="D44" s="33"/>
      <c r="E44" s="33"/>
    </row>
    <row r="45" spans="4:5" x14ac:dyDescent="0.35">
      <c r="D45" s="33"/>
      <c r="E45" s="33"/>
    </row>
    <row r="46" spans="4:5" x14ac:dyDescent="0.35">
      <c r="D46" s="33"/>
      <c r="E46" s="33"/>
    </row>
    <row r="47" spans="4:5" x14ac:dyDescent="0.35">
      <c r="D47" s="33"/>
      <c r="E47" s="33"/>
    </row>
    <row r="48" spans="4:5" x14ac:dyDescent="0.35">
      <c r="D48" s="33"/>
      <c r="E48" s="33"/>
    </row>
    <row r="49" spans="4:5" x14ac:dyDescent="0.35">
      <c r="D49" s="33"/>
      <c r="E49" s="33"/>
    </row>
    <row r="50" spans="4:5" x14ac:dyDescent="0.35">
      <c r="D50" s="33"/>
      <c r="E50" s="33"/>
    </row>
    <row r="51" spans="4:5" x14ac:dyDescent="0.35">
      <c r="D51" s="33"/>
      <c r="E51" s="33"/>
    </row>
    <row r="52" spans="4:5" x14ac:dyDescent="0.35">
      <c r="D52" s="33"/>
      <c r="E52" s="33"/>
    </row>
    <row r="53" spans="4:5" x14ac:dyDescent="0.35">
      <c r="D53" s="33"/>
      <c r="E53" s="33"/>
    </row>
    <row r="54" spans="4:5" x14ac:dyDescent="0.35">
      <c r="D54" s="33"/>
      <c r="E54" s="33"/>
    </row>
    <row r="55" spans="4:5" x14ac:dyDescent="0.35">
      <c r="D55" s="33"/>
      <c r="E55" s="33"/>
    </row>
    <row r="56" spans="4:5" x14ac:dyDescent="0.35">
      <c r="D56" s="33"/>
      <c r="E56" s="33"/>
    </row>
    <row r="57" spans="4:5" x14ac:dyDescent="0.35">
      <c r="D57" s="33"/>
      <c r="E57" s="33"/>
    </row>
    <row r="58" spans="4:5" x14ac:dyDescent="0.35">
      <c r="D58" s="33"/>
      <c r="E58" s="33"/>
    </row>
    <row r="59" spans="4:5" x14ac:dyDescent="0.35">
      <c r="D59" s="33"/>
      <c r="E59" s="33"/>
    </row>
    <row r="60" spans="4:5" x14ac:dyDescent="0.35">
      <c r="D60" s="33"/>
      <c r="E60" s="33"/>
    </row>
    <row r="61" spans="4:5" x14ac:dyDescent="0.35">
      <c r="D61" s="33"/>
      <c r="E61" s="33"/>
    </row>
    <row r="62" spans="4:5" x14ac:dyDescent="0.35">
      <c r="D62" s="33"/>
      <c r="E62" s="33"/>
    </row>
    <row r="63" spans="4:5" x14ac:dyDescent="0.35">
      <c r="D63" s="33"/>
      <c r="E63" s="33"/>
    </row>
    <row r="64" spans="4:5" x14ac:dyDescent="0.35">
      <c r="D64" s="33"/>
      <c r="E64" s="33"/>
    </row>
    <row r="65" spans="4:5" x14ac:dyDescent="0.35">
      <c r="D65" s="33"/>
      <c r="E65" s="33"/>
    </row>
    <row r="66" spans="4:5" x14ac:dyDescent="0.35">
      <c r="D66" s="33"/>
      <c r="E66" s="33"/>
    </row>
    <row r="67" spans="4:5" x14ac:dyDescent="0.35">
      <c r="D67" s="33"/>
      <c r="E67" s="33"/>
    </row>
    <row r="68" spans="4:5" x14ac:dyDescent="0.35">
      <c r="D68" s="33"/>
      <c r="E68" s="33"/>
    </row>
    <row r="69" spans="4:5" x14ac:dyDescent="0.35">
      <c r="D69" s="33"/>
      <c r="E69" s="33"/>
    </row>
    <row r="70" spans="4:5" x14ac:dyDescent="0.35">
      <c r="D70" s="33"/>
      <c r="E70" s="33"/>
    </row>
    <row r="71" spans="4:5" x14ac:dyDescent="0.35">
      <c r="D71" s="33"/>
      <c r="E71" s="33"/>
    </row>
    <row r="72" spans="4:5" x14ac:dyDescent="0.35">
      <c r="D72" s="33"/>
      <c r="E72" s="33"/>
    </row>
    <row r="73" spans="4:5" x14ac:dyDescent="0.35">
      <c r="D73" s="33"/>
      <c r="E73" s="33"/>
    </row>
    <row r="74" spans="4:5" x14ac:dyDescent="0.35">
      <c r="D74" s="33"/>
      <c r="E74" s="33"/>
    </row>
    <row r="75" spans="4:5" x14ac:dyDescent="0.35">
      <c r="D75" s="33"/>
      <c r="E75" s="33"/>
    </row>
    <row r="76" spans="4:5" x14ac:dyDescent="0.35">
      <c r="D76" s="33"/>
      <c r="E76" s="33"/>
    </row>
    <row r="77" spans="4:5" x14ac:dyDescent="0.35">
      <c r="D77" s="33"/>
      <c r="E77" s="33"/>
    </row>
    <row r="78" spans="4:5" x14ac:dyDescent="0.35">
      <c r="D78" s="33"/>
      <c r="E78" s="33"/>
    </row>
    <row r="79" spans="4:5" x14ac:dyDescent="0.35">
      <c r="D79" s="33"/>
      <c r="E79" s="33"/>
    </row>
    <row r="80" spans="4:5" x14ac:dyDescent="0.35">
      <c r="D80" s="33"/>
      <c r="E80" s="33"/>
    </row>
    <row r="81" spans="4:5" x14ac:dyDescent="0.35">
      <c r="D81" s="33"/>
      <c r="E81" s="33"/>
    </row>
    <row r="82" spans="4:5" x14ac:dyDescent="0.35">
      <c r="D82" s="33"/>
      <c r="E82" s="33"/>
    </row>
    <row r="83" spans="4:5" x14ac:dyDescent="0.35">
      <c r="D83" s="33"/>
      <c r="E83" s="33"/>
    </row>
    <row r="84" spans="4:5" x14ac:dyDescent="0.35">
      <c r="D84" s="33"/>
      <c r="E84" s="33"/>
    </row>
    <row r="85" spans="4:5" x14ac:dyDescent="0.35">
      <c r="D85" s="33"/>
      <c r="E85" s="33"/>
    </row>
    <row r="86" spans="4:5" x14ac:dyDescent="0.35">
      <c r="D86" s="33"/>
      <c r="E86" s="33"/>
    </row>
    <row r="87" spans="4:5" x14ac:dyDescent="0.35">
      <c r="D87" s="33"/>
      <c r="E87" s="33"/>
    </row>
    <row r="88" spans="4:5" x14ac:dyDescent="0.35">
      <c r="D88" s="33"/>
      <c r="E88" s="33"/>
    </row>
    <row r="89" spans="4:5" x14ac:dyDescent="0.35">
      <c r="D89" s="33"/>
      <c r="E89" s="33"/>
    </row>
    <row r="90" spans="4:5" x14ac:dyDescent="0.35">
      <c r="D90" s="33"/>
      <c r="E90" s="33"/>
    </row>
    <row r="91" spans="4:5" x14ac:dyDescent="0.35">
      <c r="D91" s="33"/>
      <c r="E91" s="33"/>
    </row>
    <row r="92" spans="4:5" x14ac:dyDescent="0.35">
      <c r="D92" s="33"/>
      <c r="E92" s="33"/>
    </row>
    <row r="93" spans="4:5" x14ac:dyDescent="0.35">
      <c r="D93" s="33"/>
      <c r="E93" s="33"/>
    </row>
    <row r="94" spans="4:5" x14ac:dyDescent="0.35">
      <c r="D94" s="33"/>
      <c r="E94" s="33"/>
    </row>
    <row r="95" spans="4:5" x14ac:dyDescent="0.35">
      <c r="D95" s="33"/>
      <c r="E95" s="33"/>
    </row>
    <row r="96" spans="4:5" x14ac:dyDescent="0.35">
      <c r="D96" s="33"/>
      <c r="E96" s="33"/>
    </row>
    <row r="97" spans="4:5" x14ac:dyDescent="0.35">
      <c r="D97" s="33"/>
      <c r="E97" s="33"/>
    </row>
    <row r="98" spans="4:5" x14ac:dyDescent="0.35">
      <c r="D98" s="33"/>
      <c r="E98" s="33"/>
    </row>
    <row r="99" spans="4:5" x14ac:dyDescent="0.35">
      <c r="D99" s="33"/>
      <c r="E99" s="33"/>
    </row>
    <row r="100" spans="4:5" x14ac:dyDescent="0.35">
      <c r="D100" s="33"/>
      <c r="E100" s="33"/>
    </row>
    <row r="101" spans="4:5" x14ac:dyDescent="0.35">
      <c r="D101" s="33"/>
      <c r="E101" s="33"/>
    </row>
    <row r="102" spans="4:5" x14ac:dyDescent="0.35">
      <c r="D102" s="33"/>
      <c r="E102" s="33"/>
    </row>
  </sheetData>
  <sheetProtection sheet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5A5A5"/>
  </sheetPr>
  <dimension ref="A1:B266"/>
  <sheetViews>
    <sheetView showGridLines="0" workbookViewId="0"/>
  </sheetViews>
  <sheetFormatPr defaultRowHeight="14.5" x14ac:dyDescent="0.35"/>
  <cols>
    <col min="1" max="1" width="110" customWidth="1"/>
    <col min="2" max="2" width="80" customWidth="1"/>
  </cols>
  <sheetData>
    <row r="1" spans="1:2" ht="17" x14ac:dyDescent="0.4">
      <c r="A1" s="26" t="s">
        <v>317</v>
      </c>
    </row>
    <row r="2" spans="1:2" x14ac:dyDescent="0.35">
      <c r="A2" s="22" t="s">
        <v>318</v>
      </c>
    </row>
    <row r="3" spans="1:2" x14ac:dyDescent="0.35">
      <c r="A3" s="3" t="s">
        <v>319</v>
      </c>
    </row>
    <row r="4" spans="1:2" x14ac:dyDescent="0.35">
      <c r="A4" s="35" t="s">
        <v>320</v>
      </c>
    </row>
    <row r="5" spans="1:2" x14ac:dyDescent="0.35">
      <c r="A5" s="35" t="s">
        <v>321</v>
      </c>
    </row>
    <row r="6" spans="1:2" x14ac:dyDescent="0.35">
      <c r="A6" s="35" t="s">
        <v>322</v>
      </c>
    </row>
    <row r="8" spans="1:2" x14ac:dyDescent="0.35">
      <c r="A8" s="3" t="s">
        <v>323</v>
      </c>
    </row>
    <row r="9" spans="1:2" ht="60" customHeight="1" x14ac:dyDescent="0.35">
      <c r="A9" s="36" t="s">
        <v>324</v>
      </c>
    </row>
    <row r="11" spans="1:2" x14ac:dyDescent="0.35">
      <c r="A11" s="3" t="s">
        <v>325</v>
      </c>
    </row>
    <row r="12" spans="1:2" x14ac:dyDescent="0.35">
      <c r="A12" s="37" t="s">
        <v>326</v>
      </c>
      <c r="B12" s="2" t="s">
        <v>327</v>
      </c>
    </row>
    <row r="13" spans="1:2" x14ac:dyDescent="0.35">
      <c r="A13" s="37" t="s">
        <v>328</v>
      </c>
      <c r="B13" s="2" t="s">
        <v>329</v>
      </c>
    </row>
    <row r="14" spans="1:2" x14ac:dyDescent="0.35">
      <c r="A14" s="37" t="s">
        <v>330</v>
      </c>
      <c r="B14" s="2" t="s">
        <v>331</v>
      </c>
    </row>
    <row r="16" spans="1:2" x14ac:dyDescent="0.35">
      <c r="A16" s="3" t="s">
        <v>332</v>
      </c>
    </row>
    <row r="17" spans="1:1" x14ac:dyDescent="0.35">
      <c r="A17" s="35" t="s">
        <v>333</v>
      </c>
    </row>
    <row r="18" spans="1:1" x14ac:dyDescent="0.35">
      <c r="A18" s="35"/>
    </row>
    <row r="19" spans="1:1" x14ac:dyDescent="0.35">
      <c r="A19" s="35" t="s">
        <v>334</v>
      </c>
    </row>
    <row r="20" spans="1:1" x14ac:dyDescent="0.35">
      <c r="A20" s="35" t="s">
        <v>335</v>
      </c>
    </row>
    <row r="21" spans="1:1" x14ac:dyDescent="0.35">
      <c r="A21" s="35" t="s">
        <v>336</v>
      </c>
    </row>
    <row r="22" spans="1:1" x14ac:dyDescent="0.35">
      <c r="A22" s="35" t="s">
        <v>337</v>
      </c>
    </row>
    <row r="23" spans="1:1" x14ac:dyDescent="0.35">
      <c r="A23" s="35" t="s">
        <v>338</v>
      </c>
    </row>
    <row r="24" spans="1:1" x14ac:dyDescent="0.35">
      <c r="A24" s="35"/>
    </row>
    <row r="25" spans="1:1" x14ac:dyDescent="0.35">
      <c r="A25" s="35" t="s">
        <v>339</v>
      </c>
    </row>
    <row r="26" spans="1:1" x14ac:dyDescent="0.35">
      <c r="A26" s="35" t="s">
        <v>340</v>
      </c>
    </row>
    <row r="27" spans="1:1" x14ac:dyDescent="0.35">
      <c r="A27" s="35" t="s">
        <v>341</v>
      </c>
    </row>
    <row r="28" spans="1:1" x14ac:dyDescent="0.35">
      <c r="A28" s="35" t="s">
        <v>342</v>
      </c>
    </row>
    <row r="29" spans="1:1" x14ac:dyDescent="0.35">
      <c r="A29" s="35" t="s">
        <v>343</v>
      </c>
    </row>
    <row r="30" spans="1:1" x14ac:dyDescent="0.35">
      <c r="A30" s="35" t="s">
        <v>344</v>
      </c>
    </row>
    <row r="31" spans="1:1" x14ac:dyDescent="0.35">
      <c r="A31" s="35" t="s">
        <v>345</v>
      </c>
    </row>
    <row r="32" spans="1:1" x14ac:dyDescent="0.35">
      <c r="A32" s="35"/>
    </row>
    <row r="33" spans="1:1" x14ac:dyDescent="0.35">
      <c r="A33" s="35" t="s">
        <v>346</v>
      </c>
    </row>
    <row r="34" spans="1:1" x14ac:dyDescent="0.35">
      <c r="A34" s="35"/>
    </row>
    <row r="35" spans="1:1" x14ac:dyDescent="0.35">
      <c r="A35" s="35" t="s">
        <v>347</v>
      </c>
    </row>
    <row r="36" spans="1:1" x14ac:dyDescent="0.35">
      <c r="A36" s="35" t="s">
        <v>348</v>
      </c>
    </row>
    <row r="37" spans="1:1" x14ac:dyDescent="0.35">
      <c r="A37" s="35"/>
    </row>
    <row r="38" spans="1:1" x14ac:dyDescent="0.35">
      <c r="A38" s="35" t="s">
        <v>349</v>
      </c>
    </row>
    <row r="39" spans="1:1" x14ac:dyDescent="0.35">
      <c r="A39" s="35" t="s">
        <v>350</v>
      </c>
    </row>
    <row r="40" spans="1:1" x14ac:dyDescent="0.35">
      <c r="A40" s="35" t="s">
        <v>351</v>
      </c>
    </row>
    <row r="41" spans="1:1" x14ac:dyDescent="0.35">
      <c r="A41" s="35" t="s">
        <v>352</v>
      </c>
    </row>
    <row r="42" spans="1:1" x14ac:dyDescent="0.35">
      <c r="A42" s="35" t="s">
        <v>353</v>
      </c>
    </row>
    <row r="43" spans="1:1" x14ac:dyDescent="0.35">
      <c r="A43" s="35"/>
    </row>
    <row r="44" spans="1:1" x14ac:dyDescent="0.35">
      <c r="A44" s="35" t="s">
        <v>354</v>
      </c>
    </row>
    <row r="45" spans="1:1" x14ac:dyDescent="0.35">
      <c r="A45" s="35" t="s">
        <v>355</v>
      </c>
    </row>
    <row r="46" spans="1:1" x14ac:dyDescent="0.35">
      <c r="A46" s="35" t="s">
        <v>354</v>
      </c>
    </row>
    <row r="47" spans="1:1" x14ac:dyDescent="0.35">
      <c r="A47" s="35" t="s">
        <v>356</v>
      </c>
    </row>
    <row r="48" spans="1:1" x14ac:dyDescent="0.35">
      <c r="A48" s="35" t="s">
        <v>357</v>
      </c>
    </row>
    <row r="49" spans="1:1" x14ac:dyDescent="0.35">
      <c r="A49" s="35" t="s">
        <v>358</v>
      </c>
    </row>
    <row r="50" spans="1:1" x14ac:dyDescent="0.35">
      <c r="A50" s="35" t="s">
        <v>359</v>
      </c>
    </row>
    <row r="51" spans="1:1" x14ac:dyDescent="0.35">
      <c r="A51" s="35" t="s">
        <v>360</v>
      </c>
    </row>
    <row r="52" spans="1:1" x14ac:dyDescent="0.35">
      <c r="A52" s="35" t="s">
        <v>361</v>
      </c>
    </row>
    <row r="53" spans="1:1" x14ac:dyDescent="0.35">
      <c r="A53" s="35" t="s">
        <v>362</v>
      </c>
    </row>
    <row r="54" spans="1:1" x14ac:dyDescent="0.35">
      <c r="A54" s="35" t="s">
        <v>363</v>
      </c>
    </row>
    <row r="55" spans="1:1" x14ac:dyDescent="0.35">
      <c r="A55" s="35" t="s">
        <v>360</v>
      </c>
    </row>
    <row r="56" spans="1:1" x14ac:dyDescent="0.35">
      <c r="A56" s="35" t="s">
        <v>364</v>
      </c>
    </row>
    <row r="57" spans="1:1" x14ac:dyDescent="0.35">
      <c r="A57" s="35" t="s">
        <v>365</v>
      </c>
    </row>
    <row r="58" spans="1:1" x14ac:dyDescent="0.35">
      <c r="A58" s="35" t="s">
        <v>366</v>
      </c>
    </row>
    <row r="59" spans="1:1" x14ac:dyDescent="0.35">
      <c r="A59" s="35" t="s">
        <v>367</v>
      </c>
    </row>
    <row r="60" spans="1:1" x14ac:dyDescent="0.35">
      <c r="A60" s="35" t="s">
        <v>368</v>
      </c>
    </row>
    <row r="61" spans="1:1" x14ac:dyDescent="0.35">
      <c r="A61" s="35" t="s">
        <v>360</v>
      </c>
    </row>
    <row r="62" spans="1:1" x14ac:dyDescent="0.35">
      <c r="A62" s="35" t="s">
        <v>369</v>
      </c>
    </row>
    <row r="63" spans="1:1" x14ac:dyDescent="0.35">
      <c r="A63" s="35" t="s">
        <v>370</v>
      </c>
    </row>
    <row r="64" spans="1:1" x14ac:dyDescent="0.35">
      <c r="A64" s="35" t="s">
        <v>371</v>
      </c>
    </row>
    <row r="65" spans="1:1" x14ac:dyDescent="0.35">
      <c r="A65" s="35" t="s">
        <v>372</v>
      </c>
    </row>
    <row r="66" spans="1:1" x14ac:dyDescent="0.35">
      <c r="A66" s="35" t="s">
        <v>373</v>
      </c>
    </row>
    <row r="67" spans="1:1" x14ac:dyDescent="0.35">
      <c r="A67" s="35" t="s">
        <v>374</v>
      </c>
    </row>
    <row r="68" spans="1:1" x14ac:dyDescent="0.35">
      <c r="A68" s="35" t="s">
        <v>375</v>
      </c>
    </row>
    <row r="69" spans="1:1" x14ac:dyDescent="0.35">
      <c r="A69" s="35" t="s">
        <v>376</v>
      </c>
    </row>
    <row r="70" spans="1:1" x14ac:dyDescent="0.35">
      <c r="A70" s="35" t="s">
        <v>377</v>
      </c>
    </row>
    <row r="71" spans="1:1" x14ac:dyDescent="0.35">
      <c r="A71" s="35" t="s">
        <v>378</v>
      </c>
    </row>
    <row r="72" spans="1:1" x14ac:dyDescent="0.35">
      <c r="A72" s="35" t="s">
        <v>379</v>
      </c>
    </row>
    <row r="73" spans="1:1" x14ac:dyDescent="0.35">
      <c r="A73" s="35" t="s">
        <v>380</v>
      </c>
    </row>
    <row r="74" spans="1:1" x14ac:dyDescent="0.35">
      <c r="A74" s="35" t="s">
        <v>381</v>
      </c>
    </row>
    <row r="75" spans="1:1" x14ac:dyDescent="0.35">
      <c r="A75" s="35" t="s">
        <v>382</v>
      </c>
    </row>
    <row r="76" spans="1:1" x14ac:dyDescent="0.35">
      <c r="A76" s="35"/>
    </row>
    <row r="77" spans="1:1" x14ac:dyDescent="0.35">
      <c r="A77" s="35" t="s">
        <v>383</v>
      </c>
    </row>
    <row r="78" spans="1:1" x14ac:dyDescent="0.35">
      <c r="A78" s="35" t="s">
        <v>384</v>
      </c>
    </row>
    <row r="79" spans="1:1" x14ac:dyDescent="0.35">
      <c r="A79" s="35" t="s">
        <v>385</v>
      </c>
    </row>
    <row r="80" spans="1:1" x14ac:dyDescent="0.35">
      <c r="A80" s="35" t="s">
        <v>386</v>
      </c>
    </row>
    <row r="81" spans="1:1" x14ac:dyDescent="0.35">
      <c r="A81" s="35" t="s">
        <v>387</v>
      </c>
    </row>
    <row r="82" spans="1:1" x14ac:dyDescent="0.35">
      <c r="A82" s="35"/>
    </row>
    <row r="83" spans="1:1" x14ac:dyDescent="0.35">
      <c r="A83" s="35"/>
    </row>
    <row r="84" spans="1:1" x14ac:dyDescent="0.35">
      <c r="A84" s="35" t="s">
        <v>388</v>
      </c>
    </row>
    <row r="85" spans="1:1" x14ac:dyDescent="0.35">
      <c r="A85" s="35" t="s">
        <v>389</v>
      </c>
    </row>
    <row r="86" spans="1:1" x14ac:dyDescent="0.35">
      <c r="A86" s="35" t="s">
        <v>390</v>
      </c>
    </row>
    <row r="87" spans="1:1" x14ac:dyDescent="0.35">
      <c r="A87" s="35" t="s">
        <v>391</v>
      </c>
    </row>
    <row r="88" spans="1:1" x14ac:dyDescent="0.35">
      <c r="A88" s="35" t="s">
        <v>392</v>
      </c>
    </row>
    <row r="89" spans="1:1" x14ac:dyDescent="0.35">
      <c r="A89" s="35" t="s">
        <v>393</v>
      </c>
    </row>
    <row r="90" spans="1:1" x14ac:dyDescent="0.35">
      <c r="A90" s="35" t="s">
        <v>394</v>
      </c>
    </row>
    <row r="91" spans="1:1" x14ac:dyDescent="0.35">
      <c r="A91" s="35" t="s">
        <v>395</v>
      </c>
    </row>
    <row r="92" spans="1:1" x14ac:dyDescent="0.35">
      <c r="A92" s="35" t="s">
        <v>396</v>
      </c>
    </row>
    <row r="93" spans="1:1" x14ac:dyDescent="0.35">
      <c r="A93" s="35" t="s">
        <v>394</v>
      </c>
    </row>
    <row r="94" spans="1:1" x14ac:dyDescent="0.35">
      <c r="A94" s="35" t="s">
        <v>397</v>
      </c>
    </row>
    <row r="95" spans="1:1" x14ac:dyDescent="0.35">
      <c r="A95" s="35" t="s">
        <v>398</v>
      </c>
    </row>
    <row r="96" spans="1:1" x14ac:dyDescent="0.35">
      <c r="A96" s="35" t="s">
        <v>399</v>
      </c>
    </row>
    <row r="97" spans="1:1" x14ac:dyDescent="0.35">
      <c r="A97" s="35" t="s">
        <v>400</v>
      </c>
    </row>
    <row r="98" spans="1:1" x14ac:dyDescent="0.35">
      <c r="A98" s="35" t="s">
        <v>401</v>
      </c>
    </row>
    <row r="99" spans="1:1" x14ac:dyDescent="0.35">
      <c r="A99" s="35"/>
    </row>
    <row r="100" spans="1:1" x14ac:dyDescent="0.35">
      <c r="A100" s="35"/>
    </row>
    <row r="101" spans="1:1" x14ac:dyDescent="0.35">
      <c r="A101" s="35" t="s">
        <v>402</v>
      </c>
    </row>
    <row r="102" spans="1:1" x14ac:dyDescent="0.35">
      <c r="A102" s="35" t="s">
        <v>403</v>
      </c>
    </row>
    <row r="103" spans="1:1" x14ac:dyDescent="0.35">
      <c r="A103" s="35" t="s">
        <v>404</v>
      </c>
    </row>
    <row r="104" spans="1:1" x14ac:dyDescent="0.35">
      <c r="A104" s="35" t="s">
        <v>405</v>
      </c>
    </row>
    <row r="105" spans="1:1" x14ac:dyDescent="0.35">
      <c r="A105" s="35" t="s">
        <v>406</v>
      </c>
    </row>
    <row r="106" spans="1:1" x14ac:dyDescent="0.35">
      <c r="A106" s="35" t="s">
        <v>407</v>
      </c>
    </row>
    <row r="107" spans="1:1" x14ac:dyDescent="0.35">
      <c r="A107" s="35" t="s">
        <v>408</v>
      </c>
    </row>
    <row r="108" spans="1:1" x14ac:dyDescent="0.35">
      <c r="A108" s="35" t="s">
        <v>391</v>
      </c>
    </row>
    <row r="109" spans="1:1" x14ac:dyDescent="0.35">
      <c r="A109" s="35" t="s">
        <v>409</v>
      </c>
    </row>
    <row r="110" spans="1:1" x14ac:dyDescent="0.35">
      <c r="A110" s="35" t="s">
        <v>410</v>
      </c>
    </row>
    <row r="111" spans="1:1" x14ac:dyDescent="0.35">
      <c r="A111" s="35" t="s">
        <v>394</v>
      </c>
    </row>
    <row r="112" spans="1:1" x14ac:dyDescent="0.35">
      <c r="A112" s="35" t="s">
        <v>391</v>
      </c>
    </row>
    <row r="113" spans="1:1" x14ac:dyDescent="0.35">
      <c r="A113" s="35" t="s">
        <v>411</v>
      </c>
    </row>
    <row r="114" spans="1:1" x14ac:dyDescent="0.35">
      <c r="A114" s="35" t="s">
        <v>412</v>
      </c>
    </row>
    <row r="115" spans="1:1" x14ac:dyDescent="0.35">
      <c r="A115" s="35" t="s">
        <v>394</v>
      </c>
    </row>
    <row r="116" spans="1:1" x14ac:dyDescent="0.35">
      <c r="A116" s="35" t="s">
        <v>396</v>
      </c>
    </row>
    <row r="117" spans="1:1" x14ac:dyDescent="0.35">
      <c r="A117" s="35" t="s">
        <v>394</v>
      </c>
    </row>
    <row r="118" spans="1:1" x14ac:dyDescent="0.35">
      <c r="A118" s="35" t="s">
        <v>397</v>
      </c>
    </row>
    <row r="119" spans="1:1" x14ac:dyDescent="0.35">
      <c r="A119" s="35" t="s">
        <v>413</v>
      </c>
    </row>
    <row r="120" spans="1:1" x14ac:dyDescent="0.35">
      <c r="A120" s="35" t="s">
        <v>414</v>
      </c>
    </row>
    <row r="121" spans="1:1" x14ac:dyDescent="0.35">
      <c r="A121" s="35" t="s">
        <v>415</v>
      </c>
    </row>
    <row r="122" spans="1:1" x14ac:dyDescent="0.35">
      <c r="A122" s="35" t="s">
        <v>416</v>
      </c>
    </row>
    <row r="123" spans="1:1" x14ac:dyDescent="0.35">
      <c r="A123" s="35" t="s">
        <v>417</v>
      </c>
    </row>
    <row r="124" spans="1:1" x14ac:dyDescent="0.35">
      <c r="A124" s="35" t="s">
        <v>418</v>
      </c>
    </row>
    <row r="125" spans="1:1" x14ac:dyDescent="0.35">
      <c r="A125" s="35" t="s">
        <v>401</v>
      </c>
    </row>
    <row r="126" spans="1:1" x14ac:dyDescent="0.35">
      <c r="A126" s="35"/>
    </row>
    <row r="127" spans="1:1" x14ac:dyDescent="0.35">
      <c r="A127" s="35"/>
    </row>
    <row r="128" spans="1:1" x14ac:dyDescent="0.35">
      <c r="A128" s="35" t="s">
        <v>419</v>
      </c>
    </row>
    <row r="129" spans="1:1" x14ac:dyDescent="0.35">
      <c r="A129" s="35" t="s">
        <v>420</v>
      </c>
    </row>
    <row r="130" spans="1:1" x14ac:dyDescent="0.35">
      <c r="A130" s="35" t="s">
        <v>421</v>
      </c>
    </row>
    <row r="131" spans="1:1" x14ac:dyDescent="0.35">
      <c r="A131" s="35" t="s">
        <v>422</v>
      </c>
    </row>
    <row r="132" spans="1:1" x14ac:dyDescent="0.35">
      <c r="A132" s="35" t="s">
        <v>423</v>
      </c>
    </row>
    <row r="133" spans="1:1" x14ac:dyDescent="0.35">
      <c r="A133" s="35" t="s">
        <v>424</v>
      </c>
    </row>
    <row r="134" spans="1:1" x14ac:dyDescent="0.35">
      <c r="A134" s="35"/>
    </row>
    <row r="135" spans="1:1" x14ac:dyDescent="0.35">
      <c r="A135" s="35" t="s">
        <v>425</v>
      </c>
    </row>
    <row r="136" spans="1:1" x14ac:dyDescent="0.35">
      <c r="A136" s="35" t="s">
        <v>426</v>
      </c>
    </row>
    <row r="137" spans="1:1" x14ac:dyDescent="0.35">
      <c r="A137" s="35" t="s">
        <v>427</v>
      </c>
    </row>
    <row r="138" spans="1:1" x14ac:dyDescent="0.35">
      <c r="A138" s="35" t="s">
        <v>428</v>
      </c>
    </row>
    <row r="139" spans="1:1" x14ac:dyDescent="0.35">
      <c r="A139" s="35" t="s">
        <v>429</v>
      </c>
    </row>
    <row r="140" spans="1:1" x14ac:dyDescent="0.35">
      <c r="A140" s="35" t="s">
        <v>430</v>
      </c>
    </row>
    <row r="141" spans="1:1" x14ac:dyDescent="0.35">
      <c r="A141" s="35" t="s">
        <v>431</v>
      </c>
    </row>
    <row r="142" spans="1:1" x14ac:dyDescent="0.35">
      <c r="A142" s="35" t="s">
        <v>432</v>
      </c>
    </row>
    <row r="143" spans="1:1" x14ac:dyDescent="0.35">
      <c r="A143" s="35" t="s">
        <v>433</v>
      </c>
    </row>
    <row r="144" spans="1:1" x14ac:dyDescent="0.35">
      <c r="A144" s="35" t="s">
        <v>434</v>
      </c>
    </row>
    <row r="145" spans="1:1" x14ac:dyDescent="0.35">
      <c r="A145" s="35" t="s">
        <v>435</v>
      </c>
    </row>
    <row r="146" spans="1:1" x14ac:dyDescent="0.35">
      <c r="A146" s="35" t="s">
        <v>436</v>
      </c>
    </row>
    <row r="147" spans="1:1" x14ac:dyDescent="0.35">
      <c r="A147" s="35" t="s">
        <v>437</v>
      </c>
    </row>
    <row r="148" spans="1:1" x14ac:dyDescent="0.35">
      <c r="A148" s="35" t="s">
        <v>438</v>
      </c>
    </row>
    <row r="149" spans="1:1" x14ac:dyDescent="0.35">
      <c r="A149" s="35" t="s">
        <v>439</v>
      </c>
    </row>
    <row r="150" spans="1:1" x14ac:dyDescent="0.35">
      <c r="A150" s="35" t="s">
        <v>440</v>
      </c>
    </row>
    <row r="151" spans="1:1" x14ac:dyDescent="0.35">
      <c r="A151" s="35" t="s">
        <v>441</v>
      </c>
    </row>
    <row r="152" spans="1:1" x14ac:dyDescent="0.35">
      <c r="A152" s="35" t="s">
        <v>442</v>
      </c>
    </row>
    <row r="153" spans="1:1" x14ac:dyDescent="0.35">
      <c r="A153" s="35" t="s">
        <v>443</v>
      </c>
    </row>
    <row r="154" spans="1:1" x14ac:dyDescent="0.35">
      <c r="A154" s="35" t="s">
        <v>444</v>
      </c>
    </row>
    <row r="155" spans="1:1" x14ac:dyDescent="0.35">
      <c r="A155" s="35"/>
    </row>
    <row r="156" spans="1:1" x14ac:dyDescent="0.35">
      <c r="A156" s="35"/>
    </row>
    <row r="157" spans="1:1" x14ac:dyDescent="0.35">
      <c r="A157" s="35" t="s">
        <v>445</v>
      </c>
    </row>
    <row r="158" spans="1:1" x14ac:dyDescent="0.35">
      <c r="A158" s="35" t="s">
        <v>446</v>
      </c>
    </row>
    <row r="159" spans="1:1" x14ac:dyDescent="0.35">
      <c r="A159" s="35" t="s">
        <v>391</v>
      </c>
    </row>
    <row r="160" spans="1:1" x14ac:dyDescent="0.35">
      <c r="A160" s="35" t="s">
        <v>447</v>
      </c>
    </row>
    <row r="161" spans="1:1" x14ac:dyDescent="0.35">
      <c r="A161" s="35" t="s">
        <v>448</v>
      </c>
    </row>
    <row r="162" spans="1:1" x14ac:dyDescent="0.35">
      <c r="A162" s="35" t="s">
        <v>449</v>
      </c>
    </row>
    <row r="163" spans="1:1" x14ac:dyDescent="0.35">
      <c r="A163" s="35"/>
    </row>
    <row r="164" spans="1:1" x14ac:dyDescent="0.35">
      <c r="A164" s="35"/>
    </row>
    <row r="165" spans="1:1" x14ac:dyDescent="0.35">
      <c r="A165" s="35" t="s">
        <v>450</v>
      </c>
    </row>
    <row r="166" spans="1:1" x14ac:dyDescent="0.35">
      <c r="A166" s="35" t="s">
        <v>451</v>
      </c>
    </row>
    <row r="167" spans="1:1" x14ac:dyDescent="0.35">
      <c r="A167" s="35" t="s">
        <v>452</v>
      </c>
    </row>
    <row r="168" spans="1:1" x14ac:dyDescent="0.35">
      <c r="A168" s="35" t="s">
        <v>453</v>
      </c>
    </row>
    <row r="169" spans="1:1" x14ac:dyDescent="0.35">
      <c r="A169" s="35" t="s">
        <v>454</v>
      </c>
    </row>
    <row r="170" spans="1:1" x14ac:dyDescent="0.35">
      <c r="A170" s="35" t="s">
        <v>455</v>
      </c>
    </row>
    <row r="171" spans="1:1" x14ac:dyDescent="0.35">
      <c r="A171" s="35" t="s">
        <v>456</v>
      </c>
    </row>
    <row r="172" spans="1:1" x14ac:dyDescent="0.35">
      <c r="A172" s="35" t="s">
        <v>457</v>
      </c>
    </row>
    <row r="173" spans="1:1" x14ac:dyDescent="0.35">
      <c r="A173" s="35"/>
    </row>
    <row r="174" spans="1:1" x14ac:dyDescent="0.35">
      <c r="A174" s="35"/>
    </row>
    <row r="175" spans="1:1" x14ac:dyDescent="0.35">
      <c r="A175" s="35" t="s">
        <v>458</v>
      </c>
    </row>
    <row r="176" spans="1:1" x14ac:dyDescent="0.35">
      <c r="A176" s="35" t="s">
        <v>459</v>
      </c>
    </row>
    <row r="177" spans="1:1" x14ac:dyDescent="0.35">
      <c r="A177" s="35" t="s">
        <v>460</v>
      </c>
    </row>
    <row r="178" spans="1:1" x14ac:dyDescent="0.35">
      <c r="A178" s="35" t="s">
        <v>461</v>
      </c>
    </row>
    <row r="179" spans="1:1" x14ac:dyDescent="0.35">
      <c r="A179" s="35" t="s">
        <v>462</v>
      </c>
    </row>
    <row r="180" spans="1:1" x14ac:dyDescent="0.35">
      <c r="A180" s="35" t="s">
        <v>463</v>
      </c>
    </row>
    <row r="181" spans="1:1" x14ac:dyDescent="0.35">
      <c r="A181" s="35"/>
    </row>
    <row r="182" spans="1:1" x14ac:dyDescent="0.35">
      <c r="A182" s="35" t="s">
        <v>464</v>
      </c>
    </row>
    <row r="183" spans="1:1" x14ac:dyDescent="0.35">
      <c r="A183" s="35" t="s">
        <v>465</v>
      </c>
    </row>
    <row r="184" spans="1:1" x14ac:dyDescent="0.35">
      <c r="A184" s="35"/>
    </row>
    <row r="185" spans="1:1" x14ac:dyDescent="0.35">
      <c r="A185" s="35" t="s">
        <v>466</v>
      </c>
    </row>
    <row r="186" spans="1:1" x14ac:dyDescent="0.35">
      <c r="A186" s="35" t="s">
        <v>467</v>
      </c>
    </row>
    <row r="187" spans="1:1" x14ac:dyDescent="0.35">
      <c r="A187" s="35" t="s">
        <v>468</v>
      </c>
    </row>
    <row r="188" spans="1:1" x14ac:dyDescent="0.35">
      <c r="A188" s="35" t="s">
        <v>469</v>
      </c>
    </row>
    <row r="189" spans="1:1" x14ac:dyDescent="0.35">
      <c r="A189" s="35" t="s">
        <v>470</v>
      </c>
    </row>
    <row r="190" spans="1:1" x14ac:dyDescent="0.35">
      <c r="A190" s="35"/>
    </row>
    <row r="191" spans="1:1" x14ac:dyDescent="0.35">
      <c r="A191" s="35" t="s">
        <v>471</v>
      </c>
    </row>
    <row r="192" spans="1:1" x14ac:dyDescent="0.35">
      <c r="A192" s="35" t="s">
        <v>472</v>
      </c>
    </row>
    <row r="193" spans="1:1" x14ac:dyDescent="0.35">
      <c r="A193" s="35" t="s">
        <v>473</v>
      </c>
    </row>
    <row r="194" spans="1:1" x14ac:dyDescent="0.35">
      <c r="A194" s="35" t="s">
        <v>474</v>
      </c>
    </row>
    <row r="195" spans="1:1" x14ac:dyDescent="0.35">
      <c r="A195" s="35" t="s">
        <v>475</v>
      </c>
    </row>
    <row r="196" spans="1:1" x14ac:dyDescent="0.35">
      <c r="A196" s="35" t="s">
        <v>476</v>
      </c>
    </row>
    <row r="197" spans="1:1" x14ac:dyDescent="0.35">
      <c r="A197" s="35" t="s">
        <v>477</v>
      </c>
    </row>
    <row r="198" spans="1:1" x14ac:dyDescent="0.35">
      <c r="A198" s="35" t="s">
        <v>478</v>
      </c>
    </row>
    <row r="199" spans="1:1" x14ac:dyDescent="0.35">
      <c r="A199" s="35" t="s">
        <v>479</v>
      </c>
    </row>
    <row r="200" spans="1:1" x14ac:dyDescent="0.35">
      <c r="A200" s="35" t="s">
        <v>480</v>
      </c>
    </row>
    <row r="201" spans="1:1" x14ac:dyDescent="0.35">
      <c r="A201" s="35" t="s">
        <v>481</v>
      </c>
    </row>
    <row r="202" spans="1:1" x14ac:dyDescent="0.35">
      <c r="A202" s="35" t="s">
        <v>482</v>
      </c>
    </row>
    <row r="203" spans="1:1" x14ac:dyDescent="0.35">
      <c r="A203" s="35" t="s">
        <v>483</v>
      </c>
    </row>
    <row r="204" spans="1:1" x14ac:dyDescent="0.35">
      <c r="A204" s="35"/>
    </row>
    <row r="205" spans="1:1" x14ac:dyDescent="0.35">
      <c r="A205" s="35" t="s">
        <v>484</v>
      </c>
    </row>
    <row r="206" spans="1:1" x14ac:dyDescent="0.35">
      <c r="A206" s="35" t="s">
        <v>485</v>
      </c>
    </row>
    <row r="207" spans="1:1" x14ac:dyDescent="0.35">
      <c r="A207" s="35" t="s">
        <v>486</v>
      </c>
    </row>
    <row r="208" spans="1:1" x14ac:dyDescent="0.35">
      <c r="A208" s="35"/>
    </row>
    <row r="209" spans="1:1" x14ac:dyDescent="0.35">
      <c r="A209" s="35" t="s">
        <v>487</v>
      </c>
    </row>
    <row r="210" spans="1:1" x14ac:dyDescent="0.35">
      <c r="A210" s="35" t="s">
        <v>488</v>
      </c>
    </row>
    <row r="211" spans="1:1" x14ac:dyDescent="0.35">
      <c r="A211" s="35" t="s">
        <v>489</v>
      </c>
    </row>
    <row r="212" spans="1:1" x14ac:dyDescent="0.35">
      <c r="A212" s="35" t="s">
        <v>436</v>
      </c>
    </row>
    <row r="213" spans="1:1" x14ac:dyDescent="0.35">
      <c r="A213" s="35" t="s">
        <v>490</v>
      </c>
    </row>
    <row r="214" spans="1:1" x14ac:dyDescent="0.35">
      <c r="A214" s="35" t="s">
        <v>491</v>
      </c>
    </row>
    <row r="215" spans="1:1" x14ac:dyDescent="0.35">
      <c r="A215" s="35" t="s">
        <v>492</v>
      </c>
    </row>
    <row r="216" spans="1:1" x14ac:dyDescent="0.35">
      <c r="A216" s="35" t="s">
        <v>493</v>
      </c>
    </row>
    <row r="217" spans="1:1" x14ac:dyDescent="0.35">
      <c r="A217" s="35" t="s">
        <v>494</v>
      </c>
    </row>
    <row r="218" spans="1:1" x14ac:dyDescent="0.35">
      <c r="A218" s="35" t="s">
        <v>495</v>
      </c>
    </row>
    <row r="219" spans="1:1" x14ac:dyDescent="0.35">
      <c r="A219" s="35" t="s">
        <v>496</v>
      </c>
    </row>
    <row r="220" spans="1:1" x14ac:dyDescent="0.35">
      <c r="A220" s="35" t="s">
        <v>497</v>
      </c>
    </row>
    <row r="221" spans="1:1" x14ac:dyDescent="0.35">
      <c r="A221" s="35" t="s">
        <v>498</v>
      </c>
    </row>
    <row r="222" spans="1:1" x14ac:dyDescent="0.35">
      <c r="A222" s="35" t="s">
        <v>499</v>
      </c>
    </row>
    <row r="223" spans="1:1" x14ac:dyDescent="0.35">
      <c r="A223" s="35" t="s">
        <v>500</v>
      </c>
    </row>
    <row r="224" spans="1:1" x14ac:dyDescent="0.35">
      <c r="A224" s="35"/>
    </row>
    <row r="225" spans="1:1" x14ac:dyDescent="0.35">
      <c r="A225" s="35"/>
    </row>
    <row r="226" spans="1:1" x14ac:dyDescent="0.35">
      <c r="A226" s="35" t="s">
        <v>501</v>
      </c>
    </row>
    <row r="227" spans="1:1" x14ac:dyDescent="0.35">
      <c r="A227" s="35" t="s">
        <v>502</v>
      </c>
    </row>
    <row r="228" spans="1:1" x14ac:dyDescent="0.35">
      <c r="A228" s="35" t="s">
        <v>503</v>
      </c>
    </row>
    <row r="229" spans="1:1" x14ac:dyDescent="0.35">
      <c r="A229" s="35" t="s">
        <v>504</v>
      </c>
    </row>
    <row r="230" spans="1:1" x14ac:dyDescent="0.35">
      <c r="A230" s="35" t="s">
        <v>505</v>
      </c>
    </row>
    <row r="231" spans="1:1" x14ac:dyDescent="0.35">
      <c r="A231" s="35"/>
    </row>
    <row r="232" spans="1:1" x14ac:dyDescent="0.35">
      <c r="A232" s="35"/>
    </row>
    <row r="233" spans="1:1" x14ac:dyDescent="0.35">
      <c r="A233" s="35" t="s">
        <v>501</v>
      </c>
    </row>
    <row r="234" spans="1:1" x14ac:dyDescent="0.35">
      <c r="A234" s="35" t="s">
        <v>506</v>
      </c>
    </row>
    <row r="235" spans="1:1" x14ac:dyDescent="0.35">
      <c r="A235" s="35" t="s">
        <v>507</v>
      </c>
    </row>
    <row r="236" spans="1:1" x14ac:dyDescent="0.35">
      <c r="A236" s="35" t="s">
        <v>508</v>
      </c>
    </row>
    <row r="237" spans="1:1" x14ac:dyDescent="0.35">
      <c r="A237" s="35" t="s">
        <v>509</v>
      </c>
    </row>
    <row r="238" spans="1:1" x14ac:dyDescent="0.35">
      <c r="A238" s="35" t="s">
        <v>510</v>
      </c>
    </row>
    <row r="239" spans="1:1" x14ac:dyDescent="0.35">
      <c r="A239" s="35"/>
    </row>
    <row r="240" spans="1:1" x14ac:dyDescent="0.35">
      <c r="A240" s="35"/>
    </row>
    <row r="241" spans="1:1" x14ac:dyDescent="0.35">
      <c r="A241" s="35" t="s">
        <v>501</v>
      </c>
    </row>
    <row r="242" spans="1:1" x14ac:dyDescent="0.35">
      <c r="A242" s="35" t="s">
        <v>511</v>
      </c>
    </row>
    <row r="243" spans="1:1" x14ac:dyDescent="0.35">
      <c r="A243" s="35" t="s">
        <v>512</v>
      </c>
    </row>
    <row r="244" spans="1:1" x14ac:dyDescent="0.35">
      <c r="A244" s="35"/>
    </row>
    <row r="245" spans="1:1" x14ac:dyDescent="0.35">
      <c r="A245" s="35" t="s">
        <v>513</v>
      </c>
    </row>
    <row r="246" spans="1:1" x14ac:dyDescent="0.35">
      <c r="A246" s="35" t="s">
        <v>514</v>
      </c>
    </row>
    <row r="247" spans="1:1" x14ac:dyDescent="0.35">
      <c r="A247" s="35" t="s">
        <v>515</v>
      </c>
    </row>
    <row r="248" spans="1:1" x14ac:dyDescent="0.35">
      <c r="A248" s="35" t="s">
        <v>516</v>
      </c>
    </row>
    <row r="249" spans="1:1" x14ac:dyDescent="0.35">
      <c r="A249" s="35" t="s">
        <v>517</v>
      </c>
    </row>
    <row r="250" spans="1:1" x14ac:dyDescent="0.35">
      <c r="A250" s="35" t="s">
        <v>518</v>
      </c>
    </row>
    <row r="251" spans="1:1" x14ac:dyDescent="0.35">
      <c r="A251" s="35" t="s">
        <v>463</v>
      </c>
    </row>
    <row r="252" spans="1:1" x14ac:dyDescent="0.35">
      <c r="A252" s="35" t="s">
        <v>391</v>
      </c>
    </row>
    <row r="253" spans="1:1" x14ac:dyDescent="0.35">
      <c r="A253" s="35" t="s">
        <v>519</v>
      </c>
    </row>
    <row r="254" spans="1:1" x14ac:dyDescent="0.35">
      <c r="A254" s="35" t="s">
        <v>520</v>
      </c>
    </row>
    <row r="255" spans="1:1" x14ac:dyDescent="0.35">
      <c r="A255" s="35" t="s">
        <v>521</v>
      </c>
    </row>
    <row r="256" spans="1:1" x14ac:dyDescent="0.35">
      <c r="A256" s="35"/>
    </row>
    <row r="257" spans="1:1" x14ac:dyDescent="0.35">
      <c r="A257" s="35" t="s">
        <v>522</v>
      </c>
    </row>
    <row r="258" spans="1:1" x14ac:dyDescent="0.35">
      <c r="A258" s="35" t="s">
        <v>467</v>
      </c>
    </row>
    <row r="259" spans="1:1" x14ac:dyDescent="0.35">
      <c r="A259" s="35" t="s">
        <v>523</v>
      </c>
    </row>
    <row r="260" spans="1:1" x14ac:dyDescent="0.35">
      <c r="A260" s="35" t="s">
        <v>469</v>
      </c>
    </row>
    <row r="261" spans="1:1" x14ac:dyDescent="0.35">
      <c r="A261" s="35" t="s">
        <v>470</v>
      </c>
    </row>
    <row r="262" spans="1:1" x14ac:dyDescent="0.35">
      <c r="A262" s="35"/>
    </row>
    <row r="263" spans="1:1" x14ac:dyDescent="0.35">
      <c r="A263" s="35" t="s">
        <v>524</v>
      </c>
    </row>
    <row r="264" spans="1:1" x14ac:dyDescent="0.35">
      <c r="A264" s="35" t="s">
        <v>525</v>
      </c>
    </row>
    <row r="265" spans="1:1" x14ac:dyDescent="0.35">
      <c r="A265" s="35" t="s">
        <v>526</v>
      </c>
    </row>
    <row r="266" spans="1:1" x14ac:dyDescent="0.35">
      <c r="A266" s="35" t="s">
        <v>527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30</vt:i4>
      </vt:variant>
    </vt:vector>
  </HeadingPairs>
  <TitlesOfParts>
    <vt:vector size="48" baseType="lpstr">
      <vt:lpstr>TOC &amp; Instructions</vt:lpstr>
      <vt:lpstr>Risk Register</vt:lpstr>
      <vt:lpstr>Lists</vt:lpstr>
      <vt:lpstr>Mapping</vt:lpstr>
      <vt:lpstr>Risk_Activity_Patterns</vt:lpstr>
      <vt:lpstr>Risk_Pattern_Assignments</vt:lpstr>
      <vt:lpstr>Treatments</vt:lpstr>
      <vt:lpstr>Summary</vt:lpstr>
      <vt:lpstr>MC_Params</vt:lpstr>
      <vt:lpstr>EMV &amp; Mode Analysis</vt:lpstr>
      <vt:lpstr>Layer1_Base</vt:lpstr>
      <vt:lpstr>Layer1_Factors</vt:lpstr>
      <vt:lpstr>Layer1_Allocation</vt:lpstr>
      <vt:lpstr>Layer1_Correlation</vt:lpstr>
      <vt:lpstr>Methodology</vt:lpstr>
      <vt:lpstr>Settings</vt:lpstr>
      <vt:lpstr>Simulation</vt:lpstr>
      <vt:lpstr>Reference (xlwings)</vt:lpstr>
      <vt:lpstr>Corr_flag</vt:lpstr>
      <vt:lpstr>Grid_Layer1_Allocation</vt:lpstr>
      <vt:lpstr>Grid_Layer1_Base</vt:lpstr>
      <vt:lpstr>Grid_Layer1_Correlation</vt:lpstr>
      <vt:lpstr>Grid_Layer1_Factors</vt:lpstr>
      <vt:lpstr>Grid_Mapping</vt:lpstr>
      <vt:lpstr>Grid_Methodology</vt:lpstr>
      <vt:lpstr>Grid_RiskRegister</vt:lpstr>
      <vt:lpstr>MC_day_rate</vt:lpstr>
      <vt:lpstr>Out_conv_halfwidth</vt:lpstr>
      <vt:lpstr>Out_conv_pct</vt:lpstr>
      <vt:lpstr>Out_ptable</vt:lpstr>
      <vt:lpstr>Out_scurve</vt:lpstr>
      <vt:lpstr>Out_triple</vt:lpstr>
      <vt:lpstr>Out_validation</vt:lpstr>
      <vt:lpstr>'Risk Register'!Print_Area</vt:lpstr>
      <vt:lpstr>'Risk Register'!Print_Titles</vt:lpstr>
      <vt:lpstr>Set_Client</vt:lpstr>
      <vt:lpstr>Set_ContractVersion</vt:lpstr>
      <vt:lpstr>Set_IssueDate</vt:lpstr>
      <vt:lpstr>Set_iterations</vt:lpstr>
      <vt:lpstr>Set_iterations_max</vt:lpstr>
      <vt:lpstr>Set_Layer1_Enabled</vt:lpstr>
      <vt:lpstr>Set_PreparedBy</vt:lpstr>
      <vt:lpstr>Set_ProjectName</vt:lpstr>
      <vt:lpstr>Set_ProjectNumber</vt:lpstr>
      <vt:lpstr>Set_Revision</vt:lpstr>
      <vt:lpstr>Set_risk_prefix</vt:lpstr>
      <vt:lpstr>Set_seed</vt:lpstr>
      <vt:lpstr>Set_view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Cost-QRA Register</dc:title>
  <dc:creator/>
  <cp:lastModifiedBy/>
  <dcterms:created xsi:type="dcterms:W3CDTF">2026-09-17T03:30:33Z</dcterms:created>
  <dcterms:modified xsi:type="dcterms:W3CDTF">2026-09-17T03:30:54Z</dcterms:modified>
</cp:coreProperties>
</file>