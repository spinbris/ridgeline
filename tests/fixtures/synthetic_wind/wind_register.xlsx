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 lockStructure="1"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C &amp; Instructions" sheetId="1" state="visible" r:id="rId1"/>
    <sheet xmlns:r="http://schemas.openxmlformats.org/officeDocument/2006/relationships" name="Risk Register" sheetId="2" state="visible" r:id="rId2"/>
    <sheet xmlns:r="http://schemas.openxmlformats.org/officeDocument/2006/relationships" name="Lists" sheetId="3" state="visible" r:id="rId3"/>
    <sheet xmlns:r="http://schemas.openxmlformats.org/officeDocument/2006/relationships" name="Mapping" sheetId="4" state="visible" r:id="rId4"/>
    <sheet xmlns:r="http://schemas.openxmlformats.org/officeDocument/2006/relationships" name="MC_Params" sheetId="5" state="visible" r:id="rId5"/>
    <sheet xmlns:r="http://schemas.openxmlformats.org/officeDocument/2006/relationships" name="EMV &amp; Mode Analysis" sheetId="6" state="visible" r:id="rId6"/>
    <sheet xmlns:r="http://schemas.openxmlformats.org/officeDocument/2006/relationships" name="Layer1_Base" sheetId="7" state="visible" r:id="rId7"/>
    <sheet xmlns:r="http://schemas.openxmlformats.org/officeDocument/2006/relationships" name="Layer1_Factors" sheetId="8" state="visible" r:id="rId8"/>
    <sheet xmlns:r="http://schemas.openxmlformats.org/officeDocument/2006/relationships" name="Layer1_Allocation" sheetId="9" state="visible" r:id="rId9"/>
    <sheet xmlns:r="http://schemas.openxmlformats.org/officeDocument/2006/relationships" name="Layer1_Correlation" sheetId="10" state="visible" r:id="rId10"/>
    <sheet xmlns:r="http://schemas.openxmlformats.org/officeDocument/2006/relationships" name="Methodology" sheetId="11" state="visible" r:id="rId11"/>
    <sheet xmlns:r="http://schemas.openxmlformats.org/officeDocument/2006/relationships" name="Reference (xlwings)" sheetId="12" state="visible" r:id="rId12"/>
    <sheet xmlns:r="http://schemas.openxmlformats.org/officeDocument/2006/relationships" name="Settings" sheetId="13" state="visible" r:id="rId13"/>
    <sheet xmlns:r="http://schemas.openxmlformats.org/officeDocument/2006/relationships" name="Simulation" sheetId="14" state="visible" r:id="rId14"/>
  </sheets>
  <definedNames>
    <definedName name="List_Distribution">OFFSET(Lists!$A$3,0,0,MAX(COUNTA(Lists!$A$3:$A$1000),1),1)</definedName>
    <definedName name="List_MCInclude">OFFSET(Lists!$B$3,0,0,MAX(COUNTA(Lists!$B$3:$B$1000),1),1)</definedName>
    <definedName name="List_TimeImpact">OFFSET(Lists!$C$3,0,0,MAX(COUNTA(Lists!$C$3:$C$1000),1),1)</definedName>
    <definedName name="List_Recurrence">OFFSET(Lists!$D$3,0,0,MAX(COUNTA(Lists!$D$3:$D$1000),1),1)</definedName>
    <definedName name="List_Mode">OFFSET(Lists!$E$3,0,0,MAX(COUNTA(Lists!$E$3:$E$1000),1),1)</definedName>
    <definedName name="List_CGCode">OFFSET(Lists!$F$3,0,0,MAX(COUNTA(Lists!$F$3:$F$1000),1),1)</definedName>
    <definedName name="List_RBS_L1">OFFSET(Lists!$G$3,0,0,MAX(COUNTA(Lists!$G$3:$G$1000),1),1)</definedName>
    <definedName name="List_RBS_L2">OFFSET(Lists!$H$3,0,0,MAX(COUNTA(Lists!$H$3:$H$1000),1),1)</definedName>
    <definedName name="List_Package">OFFSET(Lists!$I$3,0,0,MAX(COUNTA(Lists!$I$3:$I$1000),1),1)</definedName>
    <definedName name="List_Factor">OFFSET(Lists!$J$3,0,0,MAX(COUNTA(Lists!$J$3:$J$1000),1),1)</definedName>
    <definedName name="MC_day_rate">'MC_Params'!$C$15</definedName>
    <definedName name="Set_iterations">Settings!$B$1</definedName>
    <definedName name="Set_seed">Settings!$B$2</definedName>
    <definedName name="Set_view">Settings!$B$3</definedName>
    <definedName name="Set_risk_prefix">Settings!$B$4</definedName>
    <definedName name="Set_iterations_max">Settings!$B$5</definedName>
    <definedName name="Set_ContractVersion">Settings!$B$6</definedName>
    <definedName name="Set_Layer1_Enabled">Settings!$B$8</definedName>
    <definedName name="Out_ptable">Simulation!$A$2:$B$20</definedName>
    <definedName name="Out_scurve">Simulation!$D$2:$E$102</definedName>
    <definedName name="Corr_flag">Simulation!$H$1</definedName>
    <definedName name="Out_conv_halfwidth">Simulation!$H$3</definedName>
    <definedName name="Out_conv_pct">Simulation!$H$4</definedName>
    <definedName name="Out_triple">Simulation!$I$2:$L$20</definedName>
    <definedName name="Out_validation">Simulation!$N$2:$N$3</definedName>
    <definedName name="Grid_RiskRegister">'Risk Register'!$A$1:$AE$39</definedName>
    <definedName name="Grid_Layer1_Base">'Layer1_Base'!$A$1:$I$12</definedName>
    <definedName name="Grid_Layer1_Factors">'Layer1_Factors'!$A$1:$F$15</definedName>
    <definedName name="Grid_Layer1_Allocation">'Layer1_Allocation'!$A$1:$I$15</definedName>
    <definedName name="Grid_Layer1_Correlation">'Layer1_Correlation'!$A$1:$H$11</definedName>
    <definedName name="Grid_Methodology">'Methodology'!$A$1:$C$23</definedName>
    <definedName name="Grid_Mapping">'Mapping'!$A$1:$F$11</definedName>
    <definedName name="Set_ProjectName">'TOC &amp; Instructions'!$B$61</definedName>
    <definedName name="Set_ProjectNumber">'TOC &amp; Instructions'!$B$62</definedName>
    <definedName name="Set_Client">'TOC &amp; Instructions'!$B$63</definedName>
    <definedName name="Set_PreparedBy">'TOC &amp; Instructions'!$B$64</definedName>
    <definedName name="Set_Revision">'TOC &amp; Instructions'!$B$65</definedName>
    <definedName name="Set_IssueDate">'TOC &amp; Instructions'!$B$66</definedName>
    <definedName name="_xlnm._FilterDatabase" localSheetId="1" hidden="1">'Risk Register'!$A$4:$AE$39</definedName>
    <definedName name="_xlnm.Print_Titles" localSheetId="1">'Risk Register'!$3:$4</definedName>
    <definedName name="_xlnm.Print_Area" localSheetId="1">'Risk Register'!$A$1:$AE$39</definedName>
    <definedName name="_xlnm.Print_Area" localSheetId="9">'Layer1_Correlation'!$A$4:$H$11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\$#,##0"/>
    <numFmt numFmtId="165" formatCode="0.0"/>
  </numFmts>
  <fonts count="15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i val="1"/>
      <sz val="9"/>
    </font>
    <font>
      <b val="1"/>
      <sz val="9"/>
    </font>
    <font>
      <color rgb="000000CC"/>
    </font>
    <font>
      <b val="1"/>
      <color rgb="00231EDC"/>
      <sz val="13"/>
    </font>
    <font>
      <i val="1"/>
      <color rgb="00666666"/>
      <sz val="8"/>
    </font>
    <font>
      <b val="1"/>
      <sz val="10"/>
    </font>
    <font>
      <b val="1"/>
      <color rgb="00231EDC"/>
      <sz val="14"/>
    </font>
    <font>
      <i val="1"/>
      <color rgb="00666666"/>
      <sz val="9"/>
    </font>
    <font>
      <b val="1"/>
      <sz val="11"/>
    </font>
    <font>
      <color rgb="00000000"/>
    </font>
    <font>
      <name val="Consolas"/>
      <sz val="9"/>
    </font>
    <font>
      <name val="Consolas"/>
      <b val="1"/>
      <sz val="9"/>
    </font>
    <font>
      <b val="1"/>
    </font>
  </fonts>
  <fills count="11">
    <fill>
      <patternFill/>
    </fill>
    <fill>
      <patternFill patternType="gray125"/>
    </fill>
    <fill>
      <patternFill patternType="solid">
        <fgColor rgb="00231EDC"/>
      </patternFill>
    </fill>
    <fill>
      <patternFill patternType="solid">
        <fgColor rgb="00DCE9FF"/>
      </patternFill>
    </fill>
    <fill>
      <patternFill patternType="solid">
        <fgColor rgb="00E4F6FF"/>
      </patternFill>
    </fill>
    <fill>
      <patternFill patternType="solid">
        <fgColor rgb="00EAF7EC"/>
      </patternFill>
    </fill>
    <fill>
      <patternFill patternType="solid">
        <fgColor rgb="00FDEBD0"/>
      </patternFill>
    </fill>
    <fill>
      <patternFill patternType="solid">
        <fgColor rgb="00D9D9D9"/>
      </patternFill>
    </fill>
    <fill>
      <patternFill patternType="solid">
        <fgColor rgb="00FCE4B6"/>
      </patternFill>
    </fill>
    <fill>
      <patternFill patternType="solid">
        <fgColor rgb="00DDEBF7"/>
      </patternFill>
    </fill>
    <fill>
      <patternFill patternType="solid">
        <fgColor rgb="00F2F2F2"/>
      </patternFill>
    </fill>
  </fills>
  <borders count="3">
    <border>
      <left/>
      <right/>
      <top/>
      <bottom/>
      <diagonal/>
    </border>
    <border>
      <left style="medium">
        <color rgb="00231EDC"/>
      </left>
    </border>
    <border>
      <left style="thin">
        <color rgb="00231EDC"/>
      </left>
      <right style="thin">
        <color rgb="00231EDC"/>
      </right>
      <top style="thin">
        <color rgb="00231EDC"/>
      </top>
      <bottom style="thin">
        <color rgb="00231EDC"/>
      </bottom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4" fillId="0" borderId="0" pivotButton="0" quotePrefix="0" xfId="0"/>
    <xf numFmtId="0" fontId="4" fillId="0" borderId="0" pivotButton="0" quotePrefix="0" xfId="0"/>
    <xf numFmtId="0" fontId="0" fillId="8" borderId="0" pivotButton="0" quotePrefix="0" xfId="0"/>
    <xf numFmtId="0" fontId="0" fillId="0" borderId="2" pivotButton="0" quotePrefix="0" xfId="0"/>
    <xf numFmtId="0" fontId="4" fillId="0" borderId="2" applyProtection="1" pivotButton="0" quotePrefix="0" xfId="0">
      <protection locked="0" hidden="0"/>
    </xf>
    <xf numFmtId="0" fontId="2" fillId="3" borderId="2" applyAlignment="1" pivotButton="0" quotePrefix="0" xfId="0">
      <alignment horizontal="centerContinuous"/>
    </xf>
    <xf numFmtId="0" fontId="2" fillId="4" borderId="2" applyAlignment="1" pivotButton="0" quotePrefix="0" xfId="0">
      <alignment horizontal="centerContinuous"/>
    </xf>
    <xf numFmtId="0" fontId="2" fillId="5" borderId="2" applyAlignment="1" pivotButton="0" quotePrefix="0" xfId="0">
      <alignment horizontal="centerContinuous"/>
    </xf>
    <xf numFmtId="0" fontId="2" fillId="6" borderId="2" applyAlignment="1" pivotButton="0" quotePrefix="0" xfId="0">
      <alignment horizontal="centerContinuous"/>
    </xf>
    <xf numFmtId="0" fontId="1" fillId="2" borderId="2" applyAlignment="1" pivotButton="0" quotePrefix="0" xfId="0">
      <alignment horizontal="center" vertical="center" wrapText="1"/>
    </xf>
    <xf numFmtId="0" fontId="4" fillId="0" borderId="2" applyAlignment="1" applyProtection="1" pivotButton="0" quotePrefix="0" xfId="0">
      <alignment vertical="top" wrapText="1"/>
      <protection locked="0" hidden="0"/>
    </xf>
    <xf numFmtId="9" fontId="4" fillId="0" borderId="2" applyProtection="1" pivotButton="0" quotePrefix="0" xfId="0">
      <protection locked="0" hidden="0"/>
    </xf>
    <xf numFmtId="164" fontId="4" fillId="0" borderId="2" applyProtection="1" pivotButton="0" quotePrefix="0" xfId="0">
      <protection locked="0" hidden="0"/>
    </xf>
    <xf numFmtId="165" fontId="4" fillId="0" borderId="2" applyProtection="1" pivotButton="0" quotePrefix="0" xfId="0">
      <protection locked="0" hidden="0"/>
    </xf>
    <xf numFmtId="164" fontId="0" fillId="0" borderId="2" pivotButton="0" quotePrefix="0" xfId="0"/>
    <xf numFmtId="165" fontId="0" fillId="0" borderId="2" pivotButton="0" quotePrefix="0" xfId="0"/>
    <xf numFmtId="0" fontId="3" fillId="0" borderId="0" pivotButton="0" quotePrefix="0" xfId="0"/>
    <xf numFmtId="0" fontId="4" fillId="0" borderId="0" applyProtection="1" pivotButton="0" quotePrefix="0" xfId="0">
      <protection locked="0" hidden="0"/>
    </xf>
    <xf numFmtId="0" fontId="0" fillId="0" borderId="0" applyProtection="1" pivotButton="0" quotePrefix="0" xfId="0">
      <protection locked="0" hidden="0"/>
    </xf>
    <xf numFmtId="164" fontId="0" fillId="0" borderId="2" applyProtection="1" pivotButton="0" quotePrefix="0" xfId="0">
      <protection locked="0" hidden="0"/>
    </xf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14" fillId="9" borderId="2" pivotButton="0" quotePrefix="0" xfId="0"/>
    <xf numFmtId="2" fontId="0" fillId="10" borderId="2" pivotButton="0" quotePrefix="0" xfId="0"/>
    <xf numFmtId="0" fontId="0" fillId="7" borderId="2" pivotButton="0" quotePrefix="0" xfId="0"/>
    <xf numFmtId="2" fontId="4" fillId="0" borderId="2" applyProtection="1" pivotButton="0" quotePrefix="0" xfId="0">
      <protection locked="0" hidden="0"/>
    </xf>
    <xf numFmtId="2" fontId="0" fillId="0" borderId="2" pivotButton="0" quotePrefix="0" xfId="0"/>
    <xf numFmtId="0" fontId="12" fillId="0" borderId="0" pivotButton="0" quotePrefix="0" xfId="0"/>
    <xf numFmtId="0" fontId="9" fillId="0" borderId="0" applyAlignment="1" pivotButton="0" quotePrefix="0" xfId="0">
      <alignment vertical="top" wrapText="1"/>
    </xf>
    <xf numFmtId="0" fontId="13" fillId="0" borderId="0" pivotButton="0" quotePrefix="0" xfId="0"/>
    <xf numFmtId="0" fontId="0" fillId="8" borderId="0" applyProtection="1" pivotButton="0" quotePrefix="0" xfId="0">
      <protection locked="0" hidden="0"/>
    </xf>
  </cellXfs>
  <cellStyles count="1">
    <cellStyle name="Normal" xfId="0" builtinId="0" hidden="0"/>
  </cellStyles>
  <dxfs count="1">
    <dxf>
      <fill>
        <patternFill patternType="solid">
          <fgColor rgb="FFFFC7CE"/>
          <bgColor rgb="FF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Cost EMV by risk (mean $)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'EMV &amp; Mode Analysis'!B11</f>
            </strRef>
          </tx>
          <spPr>
            <a:ln xmlns:a="http://schemas.openxmlformats.org/drawingml/2006/main">
              <a:prstDash val="solid"/>
            </a:ln>
          </spPr>
          <cat>
            <strRef>
              <f>'EMV &amp; Mode Analysis'!$A$12:$A$46</f>
            </strRef>
          </cat>
          <val>
            <numRef>
              <f>'EMV &amp; Mode Analysis'!$B$12:$B$46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b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Cost EMV ($)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Schedule EMV by risk (mean $)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'EMV &amp; Mode Analysis'!B49</f>
            </strRef>
          </tx>
          <spPr>
            <a:ln xmlns:a="http://schemas.openxmlformats.org/drawingml/2006/main">
              <a:prstDash val="solid"/>
            </a:ln>
          </spPr>
          <cat>
            <strRef>
              <f>'EMV &amp; Mode Analysis'!$A$50:$A$84</f>
            </strRef>
          </cat>
          <val>
            <numRef>
              <f>'EMV &amp; Mode Analysis'!$B$50:$B$84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b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Schedule EMV ($)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Layer-1 EMV: cost vs schedule ($)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'EMV &amp; Mode Analysis'!B87</f>
            </strRef>
          </tx>
          <spPr>
            <a:ln xmlns:a="http://schemas.openxmlformats.org/drawingml/2006/main">
              <a:prstDash val="solid"/>
            </a:ln>
          </spPr>
          <cat>
            <strRef>
              <f>'EMV &amp; Mode Analysis'!$A$88:$A$89</f>
            </strRef>
          </cat>
          <val>
            <numRef>
              <f>'EMV &amp; Mode Analysis'!$B$88:$B$89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b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EMV ($)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3</col>
      <colOff>0</colOff>
      <row>3</row>
      <rowOff>0</rowOff>
    </from>
    <ext cx="576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</col>
      <colOff>0</colOff>
      <row>23</row>
      <rowOff>0</rowOff>
    </from>
    <ext cx="5760000" cy="32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3</col>
      <colOff>0</colOff>
      <row>43</row>
      <rowOff>0</rowOff>
    </from>
    <ext cx="360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A5A5A5"/>
    <outlinePr summaryBelow="1" summaryRight="1"/>
    <pageSetUpPr/>
  </sheetPr>
  <dimension ref="A1:C66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90" customWidth="1" min="2" max="2"/>
    <col width="60" customWidth="1" min="3" max="3"/>
  </cols>
  <sheetData>
    <row r="1">
      <c r="A1" s="1" t="inlineStr">
        <is>
          <t>Cost-QRA Register - project input document</t>
        </is>
      </c>
    </row>
    <row r="2">
      <c r="A2" s="2" t="inlineStr">
        <is>
          <t>Scaffolded once by tools/register_scaffold.py, then this file is yours - fill it in, it is standalone. Re-scaffolding is never run against a live register.</t>
        </is>
      </c>
    </row>
    <row r="3">
      <c r="A3" s="3" t="inlineStr">
        <is>
          <t>Register contract</t>
        </is>
      </c>
      <c r="B3" s="4">
        <f>Settings!B6</f>
        <v/>
      </c>
      <c r="C3" s="2" t="inlineStr">
        <is>
          <t>The engine checks this on every run and refuses on any mismatch. Shown here from Settings!B6, never typed twice.</t>
        </is>
      </c>
    </row>
    <row r="4">
      <c r="A4" s="3" t="inlineStr">
        <is>
          <t>Tabs, in the order you fill them (auto-generated from the sheet inventory)</t>
        </is>
      </c>
    </row>
    <row r="5">
      <c r="A5" s="5" t="inlineStr">
        <is>
          <t>MC_Params</t>
        </is>
      </c>
      <c r="B5" t="inlineStr">
        <is>
          <t>Engine run parameters: day rate, programme seasons, CP threshold, TIC. Fill the day rate or schedule-dollar figures stay zero. Settings holds iterations/seed/view.</t>
        </is>
      </c>
      <c r="C5" s="2" t="inlineStr">
        <is>
          <t>you fill</t>
        </is>
      </c>
    </row>
    <row r="6">
      <c r="A6" s="5" t="inlineStr">
        <is>
          <t>Lists</t>
        </is>
      </c>
      <c r="B6" t="inlineStr">
        <is>
          <t>Cascade lists - edit here; the dropdowns follow.</t>
        </is>
      </c>
      <c r="C6" s="2" t="inlineStr">
        <is>
          <t>you fill</t>
        </is>
      </c>
    </row>
    <row r="7">
      <c r="A7" s="5" t="inlineStr">
        <is>
          <t>Risk Register</t>
        </is>
      </c>
      <c r="B7" t="inlineStr">
        <is>
          <t>Event risks - cost + schedule three-point inputs, EMV.</t>
        </is>
      </c>
      <c r="C7" s="2" t="inlineStr">
        <is>
          <t>you fill</t>
        </is>
      </c>
    </row>
    <row r="8">
      <c r="A8" s="5" t="inlineStr">
        <is>
          <t>Mapping</t>
        </is>
      </c>
      <c r="B8" t="inlineStr">
        <is>
          <t>P6/CPM binding for schedule (Time=Yes) risks.</t>
        </is>
      </c>
      <c r="C8" s="2" t="inlineStr">
        <is>
          <t>you fill</t>
        </is>
      </c>
    </row>
    <row r="9">
      <c r="A9" s="5" t="inlineStr">
        <is>
          <t>Methodology</t>
        </is>
      </c>
      <c r="B9" t="inlineStr">
        <is>
          <t>CG correlation coefficients + Mode multipliers.</t>
        </is>
      </c>
      <c r="C9" s="2" t="inlineStr">
        <is>
          <t>you fill</t>
        </is>
      </c>
    </row>
    <row r="10">
      <c r="A10" s="5" t="inlineStr">
        <is>
          <t>Settings</t>
        </is>
      </c>
      <c r="B10" t="inlineStr">
        <is>
          <t>Run settings (iterations/seed/view/prefix); the LIVE run-config surface.</t>
        </is>
      </c>
      <c r="C10" s="2" t="inlineStr">
        <is>
          <t>you fill</t>
        </is>
      </c>
    </row>
    <row r="11">
      <c r="A11" s="5" t="inlineStr">
        <is>
          <t>Layer1_Base</t>
        </is>
      </c>
      <c r="B11" t="inlineStr">
        <is>
          <t>Layer-1 base estimate matrix.</t>
        </is>
      </c>
      <c r="C11" s="2" t="inlineStr">
        <is>
          <t>you fill</t>
        </is>
      </c>
    </row>
    <row r="12">
      <c r="A12" s="5" t="inlineStr">
        <is>
          <t>Layer1_Factors</t>
        </is>
      </c>
      <c r="B12" t="inlineStr">
        <is>
          <t>Layer-1 risk factors.</t>
        </is>
      </c>
      <c r="C12" s="2" t="inlineStr">
        <is>
          <t>you fill</t>
        </is>
      </c>
    </row>
    <row r="13">
      <c r="A13" s="5" t="inlineStr">
        <is>
          <t>Layer1_Allocation</t>
        </is>
      </c>
      <c r="B13" t="inlineStr">
        <is>
          <t>Layer-1 factor x WBS allocation.</t>
        </is>
      </c>
      <c r="C13" s="2" t="inlineStr">
        <is>
          <t>you fill</t>
        </is>
      </c>
    </row>
    <row r="14">
      <c r="A14" s="5" t="inlineStr">
        <is>
          <t>Layer1_Correlation</t>
        </is>
      </c>
      <c r="B14" t="inlineStr">
        <is>
          <t>Layer-1 factor correlation matrix.</t>
        </is>
      </c>
      <c r="C14" s="2" t="inlineStr">
        <is>
          <t>you fill</t>
        </is>
      </c>
    </row>
    <row r="15">
      <c r="A15" s="5" t="inlineStr">
        <is>
          <t>EMV &amp; Mode Analysis</t>
        </is>
      </c>
      <c r="B15" t="inlineStr">
        <is>
          <t>Deterministic Layer-1 EMV + Mode charts.</t>
        </is>
      </c>
      <c r="C15" s="2" t="inlineStr">
        <is>
          <t>calculated</t>
        </is>
      </c>
    </row>
    <row r="16">
      <c r="A16" s="5" t="inlineStr">
        <is>
          <t>Simulation</t>
        </is>
      </c>
      <c r="B16" t="inlineStr">
        <is>
          <t>Model write-back: P-curve, S-curve, convergence.</t>
        </is>
      </c>
      <c r="C16" s="2" t="inlineStr">
        <is>
          <t>model writes</t>
        </is>
      </c>
    </row>
    <row r="17">
      <c r="A17" s="5" t="inlineStr">
        <is>
          <t>Reference (xlwings)</t>
        </is>
      </c>
      <c r="B17" t="inlineStr">
        <is>
          <t>xlwings requirements + @script (paste-once).</t>
        </is>
      </c>
      <c r="C17" s="2" t="inlineStr">
        <is>
          <t>reference</t>
        </is>
      </c>
    </row>
    <row r="18"/>
    <row r="19"/>
    <row r="20"/>
    <row r="21"/>
    <row r="22"/>
    <row r="23"/>
    <row r="24"/>
    <row r="25"/>
    <row r="26">
      <c r="A26" s="3" t="inlineStr">
        <is>
          <t>Cell-type legend</t>
        </is>
      </c>
    </row>
    <row r="27">
      <c r="A27" s="6" t="inlineStr">
        <is>
          <t>input</t>
        </is>
      </c>
      <c r="B27" t="inlineStr">
        <is>
          <t>Blue font, unlocked - you fill this in.</t>
        </is>
      </c>
    </row>
    <row r="28">
      <c r="A28" s="4" t="inlineStr">
        <is>
          <t>calc</t>
        </is>
      </c>
      <c r="B28" t="inlineStr">
        <is>
          <t>Black font, locked - a live Excel formula (do not overwrite).</t>
        </is>
      </c>
    </row>
    <row r="29">
      <c r="A29" s="7" t="inlineStr">
        <is>
          <t>model</t>
        </is>
      </c>
      <c r="B29" t="inlineStr">
        <is>
          <t>Amber fill - written by the model each run; do not edit.</t>
        </is>
      </c>
    </row>
    <row r="30">
      <c r="A30" s="8" t="inlineStr">
        <is>
          <t>model-read</t>
        </is>
      </c>
      <c r="B30" t="inlineStr">
        <is>
          <t>Thin blue border - the Python model reads this cell (may also be an input).</t>
        </is>
      </c>
    </row>
    <row r="32">
      <c r="A32" s="3" t="inlineStr">
        <is>
          <t>Methodology defaults</t>
        </is>
      </c>
    </row>
    <row r="33">
      <c r="B33" t="inlineStr">
        <is>
          <t>The Methodology tab ships with CG coefficients defaulted to 0.5 - review / elicit per project. Mode multipliers (Series 1.0 / Hybrid 0.5 / Parallel 0.0) are locked methodology constants.</t>
        </is>
      </c>
    </row>
    <row r="35">
      <c r="A35" s="3" t="inlineStr">
        <is>
          <t>Layer 1 - deterministic factor model (optional)</t>
        </is>
      </c>
    </row>
    <row r="36">
      <c r="B36" t="inlineStr">
        <is>
          <t>The four Layer1_* tabs and the EMV &amp; Mode Analysis tab are STANDARD on every register, but Layer 1 ships OFF: Settings!Set_Layer1_Enabled = FALSE, so the blank grids have NIL impact and the register reads exactly as a cost-only project. The grids ship at their real shape, blank: Layer1_Base is 12 placeholder WBS rows x 8 resource columns, in $M; Layer1_Allocation is 25 factor rows x the same WBS columns; Layer1_Correlation is a 25-factor lower triangle. To use Layer 1: (1) on Layer1_Base rename the WBS rows you need and type each row's $M by column, then the Declared_Total. A row with no numbers is ignored, so type 0 for a genuine zero. (2) On Layer1_Allocation rename the same WBS columns to match Layer1_Base EXACTLY - the model matches the two by name and refuses a mismatch; unused placeholder columns can stay. List your factors on Layer1_Factors (pick names from the dropdown) and tick their WBS cells with x. (3) On Layer1_Correlation type the correlated factor names across row 4 and down column A in the same order, and the coefficients in the blue lower triangle; grey cells are never read, and a blank pair means 0. (4) ONLY THEN set Set_Layer1_Enabled = TRUE. Turning Layer 1 on before the grids are filled is refused with a message naming the tab. The EMV &amp; Mode Analysis tab (totals + charts) populates from the register EMV columns whenever the register is filled or a run happens. Leave the flag FALSE to keep Layer 1 off. A project needing more rows regenerates with build_template(n_layer1_wbs_rows=, n_layer1_factors=).</t>
        </is>
      </c>
    </row>
    <row r="38">
      <c r="A38" s="3" t="inlineStr">
        <is>
          <t>Sheet protection (REG04)</t>
        </is>
      </c>
    </row>
    <row r="39">
      <c r="B39" t="inlineStr">
        <is>
          <t>The machine tabs are protected (no password): input cells are unlocked, the contract cells + formulas are locked, and the workbook structure is locked so tabs cannot be deleted/reordered. This guards against accidental edits - it does NOT stop you deleting a named range, so run Validate Contract after any structural edit. That is a task-pane item, not a button on any sheet, and it exists only after activation - see 'Running a simulation' below. To make deliberate changes, Review &gt; Unprotect Sheet.</t>
        </is>
      </c>
    </row>
    <row r="41">
      <c r="A41" s="3" t="inlineStr">
        <is>
          <t>Running a simulation</t>
        </is>
      </c>
    </row>
    <row r="42">
      <c r="B42" t="inlineStr">
        <is>
          <t>STEP 1 - ACTIVATION, ONCE PER WORKBOOK, AND IT IS A SPECIALIST'S TASK (R-8). As it ships this workbook holds no code and no buttons: there is nothing to press and nothing is broken. A risk specialist installs the xlwings Lite add-in, adds numpy and scipy to its Environment, generates the model script by running tools/make_qra_xlwings.py in the repository, and pastes the result into the xlwings Lite editor. The Reference (xlwings) tab carries the requirements and a readable copy of the entry points. Until this is done, no simulation can run.</t>
        </is>
      </c>
    </row>
    <row r="43">
      <c r="B43" t="inlineStr">
        <is>
          <t>STEP 2 - FILL THE REGISTER. Enter one risk per row on Risk Register from row 5. Blue cells are yours; the dropdowns are driven by the Lists tab. You can sort and filter the register with the sheet protected. You cannot INSERT a row: Excel inserts a whole row and the EMV columns are locked calc cells, so a 41st risk means Review &gt; Unprotect Sheet (a specialist's step) or a register regenerated at a higher row count. Set the run controls on Settings (iterations, seed, view). If you are dollarising schedule delay, put the day rate on MC_Params - it is blank as shipped, and every schedule-dollar figure stays zero until it is filled.</t>
        </is>
      </c>
    </row>
    <row r="44">
      <c r="B44" t="inlineStr">
        <is>
          <t>STEP 3 - RUN, from the xlwings Lite task pane on the right. These are task-pane items, NOT buttons on any sheet: 'Run Simulation' (the interactive count from Settings), 'Run Simulation 100k' (the deliverable count), and 'Validate Contract' (self-checks the named ranges and the version, writing PASS or FAIL). Results land on the Simulation tab, which is amber - written by the model, do not edit.</t>
        </is>
      </c>
    </row>
    <row r="45">
      <c r="B45" t="inlineStr">
        <is>
          <t>WITHOUT ACTIVATION you can still do real work: fill the register and read the live expected-value totals and charts on Summary and EMV &amp; Mode Analysis. Those are ordinary Excel formulas and need no simulation. What activation adds is the Monte-Carlo run.</t>
        </is>
      </c>
    </row>
    <row r="46">
      <c r="B46" t="inlineStr">
        <is>
          <t>SPECIALIST TABS. The four Layer1_* tabs are Tier-2: they need an elicited factor model and are optional (see Layer 1 above). Simulation and Out_* are written by the model. A generalist needs none of them.</t>
        </is>
      </c>
    </row>
    <row r="48">
      <c r="A48" s="3" t="inlineStr">
        <is>
          <t>Units, basis and formats - read before filling</t>
        </is>
      </c>
    </row>
    <row r="49">
      <c r="B49" t="inlineStr">
        <is>
          <t>UNITS. Risk Register costs are dollars ($); time is working days. Probability and Probability (Time) are FRACTIONS between 0 and 1: 0.45 means 45%, and entering 45 makes the risk fire on every iteration, silently. Layer-1 base values and Declared_Total are $M.</t>
        </is>
      </c>
    </row>
    <row r="50">
      <c r="B50" t="inlineStr">
        <is>
          <t>BASIS. Every figure is contingency at base date, before escalation. Escalation (GN4) is applied downstream to reach an outturn figure, never in this workbook.</t>
        </is>
      </c>
    </row>
    <row r="51">
      <c r="B51" t="inlineStr">
        <is>
          <t>THREE-POINT INPUTS. Optimistic / Most Likely / Pessimistic are read by the Distribution column. Triangular and PERT treat Optimistic and Pessimistic as absolute bounds. Lognormal treats them as roughly P10 and P90 with a tail beyond Pessimistic, and Most Likely as the median. Binary fires the Most Likely value; Binary/PERT draws a PERT when it fires. The time three-points follow the same rule, in working days.</t>
        </is>
      </c>
    </row>
    <row r="52">
      <c r="B52" t="inlineStr">
        <is>
          <t>COMPOSITION. Each iteration fires each risk with MC Include = Yes against its Probability and sums the sampled costs - MC Include is the switch, not Risk Status. A Time Impact = Yes risk shares one severity draw between its cost and its delay, so the two move together. When Layer 1 is on, each base cell is multiplied by (1 + factor) for every factor bound to it (rows via Layer1_Allocation, columns via Column_Scope) - the factor three-points are proportional deltas, 0.05 meaning +5% - and the result is added to the event total.</t>
        </is>
      </c>
    </row>
    <row r="53">
      <c r="B53" t="inlineStr">
        <is>
          <t>RECORDED, NOT READ. Effectiveness_Confidence, Default_Mapping_Confidence and Assignment_Confidence are kept for a reviewer and never used by the engine: any scale, or blank.</t>
        </is>
      </c>
    </row>
    <row r="54">
      <c r="B54" t="inlineStr">
        <is>
          <t>WHERE THE REST IS. Each fillable sheet carries its notes above its headers and each column's format on its header cell (hover). How to run: 'Running a simulation' above. What the colours mean: the legend above.</t>
        </is>
      </c>
    </row>
    <row r="60">
      <c r="A60" s="3" t="inlineStr">
        <is>
          <t>Project identity</t>
        </is>
      </c>
    </row>
    <row r="61">
      <c r="A61" s="5" t="inlineStr">
        <is>
          <t>Project name</t>
        </is>
      </c>
      <c r="B61" s="9" t="inlineStr">
        <is>
          <t>Tropic Ridge Wind Farm</t>
        </is>
      </c>
    </row>
    <row r="62">
      <c r="A62" s="5" t="inlineStr">
        <is>
          <t>Project number</t>
        </is>
      </c>
      <c r="B62" s="9" t="inlineStr">
        <is>
          <t>TR-BOP-001</t>
        </is>
      </c>
    </row>
    <row r="63">
      <c r="A63" s="5" t="inlineStr">
        <is>
          <t>Client</t>
        </is>
      </c>
      <c r="B63" s="9" t="inlineStr">
        <is>
          <t>Wind Farm Owner</t>
        </is>
      </c>
    </row>
    <row r="64">
      <c r="A64" s="5" t="inlineStr">
        <is>
          <t>Prepared by</t>
        </is>
      </c>
      <c r="B64" s="9" t="inlineStr">
        <is>
          <t>CBL Analytics</t>
        </is>
      </c>
    </row>
    <row r="65">
      <c r="A65" s="5" t="inlineStr">
        <is>
          <t>Revision</t>
        </is>
      </c>
      <c r="B65" s="9" t="inlineStr">
        <is>
          <t>A</t>
        </is>
      </c>
    </row>
    <row r="66">
      <c r="A66" s="5" t="inlineStr">
        <is>
          <t>Issue date</t>
        </is>
      </c>
      <c r="B66" s="9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>
  <sheetPr>
    <tabColor rgb="000A7DFF"/>
    <outlinePr summaryBelow="1" summaryRight="1"/>
    <pageSetUpPr fitToPage="1"/>
  </sheetPr>
  <dimension ref="A1:AE39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1" customWidth="1" min="2" max="2"/>
    <col width="40" customWidth="1" min="3" max="3"/>
    <col width="16" customWidth="1" min="4" max="4"/>
    <col width="20" customWidth="1" min="5" max="5"/>
    <col width="16" customWidth="1" min="6" max="6"/>
    <col width="10" customWidth="1" min="7" max="7"/>
    <col width="12" customWidth="1" min="8" max="8"/>
    <col width="14" customWidth="1" min="9" max="9"/>
    <col width="14" customWidth="1" min="10" max="10"/>
    <col width="30" customWidth="1" min="11" max="11"/>
    <col width="30" customWidth="1" min="12" max="12"/>
    <col width="30" customWidth="1" min="13" max="13"/>
    <col width="26" customWidth="1" min="19" max="19"/>
    <col width="16" customWidth="1" min="25" max="25"/>
    <col width="11" customWidth="1" min="26" max="26"/>
    <col width="18" customWidth="1" min="27" max="27"/>
    <col width="15" customWidth="1" min="28" max="28"/>
    <col width="15" customWidth="1" min="29" max="29"/>
    <col width="18" customWidth="1" min="30" max="30"/>
    <col width="22" customWidth="1" min="31" max="31"/>
  </cols>
  <sheetData>
    <row r="1">
      <c r="A1" s="8" t="n"/>
      <c r="B1" s="8" t="n"/>
      <c r="C1" s="8" t="n"/>
      <c r="D1" s="8" t="n"/>
      <c r="E1" s="8" t="n"/>
      <c r="F1" s="8" t="n"/>
      <c r="G1" s="8" t="n"/>
      <c r="H1" s="8" t="n"/>
      <c r="I1" s="8" t="n"/>
      <c r="J1" s="8" t="n"/>
      <c r="K1" s="8" t="n"/>
      <c r="L1" s="8" t="n"/>
      <c r="M1" s="8" t="n"/>
      <c r="N1" s="8" t="n"/>
      <c r="O1" s="8" t="n"/>
      <c r="P1" s="8" t="n"/>
      <c r="Q1" s="8" t="n"/>
      <c r="R1" s="8" t="n"/>
      <c r="S1" s="8" t="n"/>
      <c r="T1" s="8" t="n"/>
      <c r="U1" s="8" t="n"/>
      <c r="V1" s="8" t="n"/>
      <c r="W1" s="8" t="n"/>
      <c r="X1" s="8" t="n"/>
      <c r="Y1" s="8" t="n"/>
      <c r="Z1" s="8" t="n"/>
      <c r="AA1" s="8" t="n"/>
      <c r="AB1" s="8" t="n"/>
      <c r="AC1" s="8" t="n"/>
      <c r="AD1" s="8" t="n"/>
      <c r="AE1" s="8" t="n"/>
    </row>
    <row r="2">
      <c r="A2" s="8" t="n"/>
      <c r="B2" s="8" t="n"/>
      <c r="C2" s="8" t="n"/>
      <c r="D2" s="8" t="n"/>
      <c r="E2" s="8" t="n"/>
      <c r="F2" s="8" t="n"/>
      <c r="G2" s="8" t="n"/>
      <c r="H2" s="8" t="n"/>
      <c r="I2" s="8" t="n"/>
      <c r="J2" s="8" t="n"/>
      <c r="K2" s="8" t="n"/>
      <c r="L2" s="8" t="n"/>
      <c r="M2" s="8" t="n"/>
      <c r="N2" s="8" t="n"/>
      <c r="O2" s="8" t="n"/>
      <c r="P2" s="8" t="n"/>
      <c r="Q2" s="8" t="n"/>
      <c r="R2" s="8" t="n"/>
      <c r="S2" s="8" t="n"/>
      <c r="T2" s="8" t="n"/>
      <c r="U2" s="8" t="n"/>
      <c r="V2" s="8" t="n"/>
      <c r="W2" s="8" t="n"/>
      <c r="X2" s="8" t="n"/>
      <c r="Y2" s="8" t="n"/>
      <c r="Z2" s="8" t="n"/>
      <c r="AA2" s="8" t="n"/>
      <c r="AB2" s="8" t="n"/>
      <c r="AC2" s="8" t="n"/>
      <c r="AD2" s="8" t="n"/>
      <c r="AE2" s="8" t="n"/>
    </row>
    <row r="3">
      <c r="A3" s="8" t="n"/>
      <c r="B3" s="8" t="n"/>
      <c r="C3" s="8" t="n"/>
      <c r="D3" s="8" t="n"/>
      <c r="E3" s="8" t="n"/>
      <c r="F3" s="8" t="n"/>
      <c r="G3" s="8" t="n"/>
      <c r="H3" s="8" t="n"/>
      <c r="I3" s="8" t="n"/>
      <c r="J3" s="8" t="n"/>
      <c r="K3" s="8" t="n"/>
      <c r="L3" s="8" t="n"/>
      <c r="M3" s="8" t="n"/>
      <c r="N3" s="10" t="inlineStr">
        <is>
          <t>Contingent Risk Cost</t>
        </is>
      </c>
      <c r="O3" s="10" t="n"/>
      <c r="P3" s="10" t="n"/>
      <c r="Q3" s="10" t="n"/>
      <c r="R3" s="10" t="n"/>
      <c r="S3" s="10" t="n"/>
      <c r="T3" s="11" t="inlineStr">
        <is>
          <t>Time (Working Days)</t>
        </is>
      </c>
      <c r="U3" s="11" t="n"/>
      <c r="V3" s="11" t="n"/>
      <c r="W3" s="11" t="n"/>
      <c r="X3" s="11" t="n"/>
      <c r="Y3" s="11" t="n"/>
      <c r="Z3" s="12" t="inlineStr">
        <is>
          <t>Analyst / Derived (deterministic Layer 1)</t>
        </is>
      </c>
      <c r="AA3" s="12" t="n"/>
      <c r="AB3" s="12" t="n"/>
      <c r="AC3" s="12" t="n"/>
      <c r="AD3" s="12" t="n"/>
      <c r="AE3" s="13" t="inlineStr">
        <is>
          <t>Schedule Binding (P6-ready)</t>
        </is>
      </c>
    </row>
    <row r="4" ht="30" customHeight="1">
      <c r="A4" s="14" t="inlineStr">
        <is>
          <t>Risk ID</t>
        </is>
      </c>
      <c r="B4" s="14" t="inlineStr">
        <is>
          <t>Risk Status</t>
        </is>
      </c>
      <c r="C4" s="14" t="inlineStr">
        <is>
          <t>Risk Description</t>
        </is>
      </c>
      <c r="D4" s="14" t="inlineStr">
        <is>
          <t>Package</t>
        </is>
      </c>
      <c r="E4" s="14" t="inlineStr">
        <is>
          <t>RBS LVL 1</t>
        </is>
      </c>
      <c r="F4" s="14" t="inlineStr">
        <is>
          <t>RBS LVL 2</t>
        </is>
      </c>
      <c r="G4" s="14" t="inlineStr">
        <is>
          <t>MC Include</t>
        </is>
      </c>
      <c r="H4" s="14" t="inlineStr">
        <is>
          <t>Distribution</t>
        </is>
      </c>
      <c r="I4" s="14" t="inlineStr">
        <is>
          <t>Correlation Group</t>
        </is>
      </c>
      <c r="J4" s="14" t="inlineStr">
        <is>
          <t>Recurrence Type</t>
        </is>
      </c>
      <c r="K4" s="14" t="inlineStr">
        <is>
          <t>Causes</t>
        </is>
      </c>
      <c r="L4" s="14" t="inlineStr">
        <is>
          <t>Consequences</t>
        </is>
      </c>
      <c r="M4" s="14" t="inlineStr">
        <is>
          <t>Existing Controls</t>
        </is>
      </c>
      <c r="N4" s="14" t="inlineStr">
        <is>
          <t>Cost Impact</t>
        </is>
      </c>
      <c r="O4" s="14" t="inlineStr">
        <is>
          <t>Probability</t>
        </is>
      </c>
      <c r="P4" s="14" t="inlineStr">
        <is>
          <t>Optimistic ($)</t>
        </is>
      </c>
      <c r="Q4" s="14" t="inlineStr">
        <is>
          <t>Most Likely ($)</t>
        </is>
      </c>
      <c r="R4" s="14" t="inlineStr">
        <is>
          <t>Pessimistic ($)</t>
        </is>
      </c>
      <c r="S4" s="14" t="inlineStr">
        <is>
          <t>Basis of Estimate</t>
        </is>
      </c>
      <c r="T4" s="14" t="inlineStr">
        <is>
          <t>Time Impact</t>
        </is>
      </c>
      <c r="U4" s="14" t="inlineStr">
        <is>
          <t>Probability (Time)</t>
        </is>
      </c>
      <c r="V4" s="14" t="inlineStr">
        <is>
          <t>Optimistic (days)</t>
        </is>
      </c>
      <c r="W4" s="14" t="inlineStr">
        <is>
          <t>Most Likely (days)</t>
        </is>
      </c>
      <c r="X4" s="14" t="inlineStr">
        <is>
          <t>Pessimistic (days)</t>
        </is>
      </c>
      <c r="Y4" s="14" t="inlineStr">
        <is>
          <t>Basis of Estimate</t>
        </is>
      </c>
      <c r="Z4" s="14" t="inlineStr">
        <is>
          <t>Mode</t>
        </is>
      </c>
      <c r="AA4" s="14" t="inlineStr">
        <is>
          <t>Impact_Basis</t>
        </is>
      </c>
      <c r="AB4" s="14" t="inlineStr">
        <is>
          <t>EMV_cost ($)</t>
        </is>
      </c>
      <c r="AC4" s="14" t="inlineStr">
        <is>
          <t>EMV_sched_days</t>
        </is>
      </c>
      <c r="AD4" s="14" t="inlineStr">
        <is>
          <t>EMV_sched_dollars ($)</t>
        </is>
      </c>
      <c r="AE4" s="14" t="inlineStr">
        <is>
          <t>Schedule Activity ID (P6)</t>
        </is>
      </c>
    </row>
    <row r="5">
      <c r="A5" s="9" t="inlineStr">
        <is>
          <t>WT-001</t>
        </is>
      </c>
      <c r="B5" s="9" t="inlineStr">
        <is>
          <t>Open</t>
        </is>
      </c>
      <c r="C5" s="15" t="inlineStr">
        <is>
          <t>Turbine foundation rework</t>
        </is>
      </c>
      <c r="D5" s="9" t="inlineStr">
        <is>
          <t>EPC Contractor</t>
        </is>
      </c>
      <c r="E5" s="9" t="inlineStr">
        <is>
          <t>Civil &amp; Earthworks</t>
        </is>
      </c>
      <c r="F5" s="9" t="inlineStr">
        <is>
          <t>Foundations</t>
        </is>
      </c>
      <c r="G5" s="9" t="inlineStr">
        <is>
          <t>Yes</t>
        </is>
      </c>
      <c r="H5" s="9" t="inlineStr">
        <is>
          <t>PERT</t>
        </is>
      </c>
      <c r="I5" s="9" t="inlineStr">
        <is>
          <t>CG01</t>
        </is>
      </c>
      <c r="J5" s="9" t="n"/>
      <c r="K5" s="15" t="inlineStr">
        <is>
          <t>synthetic cause</t>
        </is>
      </c>
      <c r="L5" s="15" t="inlineStr">
        <is>
          <t>synthetic consequence</t>
        </is>
      </c>
      <c r="M5" s="15" t="inlineStr">
        <is>
          <t>synthetic controls</t>
        </is>
      </c>
      <c r="N5" s="9" t="inlineStr">
        <is>
          <t>Yes</t>
        </is>
      </c>
      <c r="O5" s="16" t="n">
        <v>0.45</v>
      </c>
      <c r="P5" s="17" t="n">
        <v>100000</v>
      </c>
      <c r="Q5" s="17" t="n">
        <v>300000</v>
      </c>
      <c r="R5" s="17" t="n">
        <v>700000</v>
      </c>
      <c r="S5" s="15" t="inlineStr">
        <is>
          <t>Wind Farm Beta capex basis</t>
        </is>
      </c>
      <c r="T5" s="9" t="inlineStr">
        <is>
          <t>Yes</t>
        </is>
      </c>
      <c r="U5" s="16" t="n">
        <v>0.45</v>
      </c>
      <c r="V5" s="18" t="n">
        <v>5</v>
      </c>
      <c r="W5" s="18" t="n">
        <v>12</v>
      </c>
      <c r="X5" s="18" t="n">
        <v>24</v>
      </c>
      <c r="Y5" s="15" t="inlineStr">
        <is>
          <t>Synthetic</t>
        </is>
      </c>
      <c r="Z5" s="9" t="inlineStr">
        <is>
          <t>Series</t>
        </is>
      </c>
      <c r="AA5" s="9" t="inlineStr">
        <is>
          <t>per_occurrence</t>
        </is>
      </c>
      <c r="AB5" s="19">
        <f>IF(O5="","",O5*IF(OR(LOWER(H5)="pert",LOWER(H5)="binary/pert"),(P5+4*Q5+R5)/6,IF(LOWER(H5)="binary",Q5,IF(LOWER(H5)="lognormal",IF(Q5&lt;=0,0,IF(OR(R5&lt;=P5,R5&lt;=0,P5&lt;=0),ABS(Q5),Q5*EXP((MAX((LN(R5)-LN(P5))/(2*1.2816),0.01)^2)/2))),(P5+Q5+R5)/3))))</f>
        <v/>
      </c>
      <c r="AC5" s="20">
        <f>IF(OR(T5&lt;&gt;"Yes",U5=""),0,U5*(V5+4*W5+X5)/6*IFERROR(INDEX(Methodology!$B$2:$B$20,MATCH(Z5,Methodology!$A$2:$A$20,0)),0))</f>
        <v/>
      </c>
      <c r="AD5" s="19">
        <f>AC5*MC_day_rate</f>
        <v/>
      </c>
      <c r="AE5" s="9" t="n"/>
    </row>
    <row r="6">
      <c r="A6" s="9" t="inlineStr">
        <is>
          <t>WT-002</t>
        </is>
      </c>
      <c r="B6" s="9" t="inlineStr">
        <is>
          <t>Open</t>
        </is>
      </c>
      <c r="C6" s="15" t="inlineStr">
        <is>
          <t>Access road wet-weather damage</t>
        </is>
      </c>
      <c r="D6" s="9" t="inlineStr">
        <is>
          <t>EPC Contractor</t>
        </is>
      </c>
      <c r="E6" s="9" t="inlineStr">
        <is>
          <t>Civil &amp; Earthworks</t>
        </is>
      </c>
      <c r="F6" s="9" t="inlineStr">
        <is>
          <t>Roads</t>
        </is>
      </c>
      <c r="G6" s="9" t="inlineStr">
        <is>
          <t>Yes</t>
        </is>
      </c>
      <c r="H6" s="9" t="inlineStr">
        <is>
          <t>Triangular</t>
        </is>
      </c>
      <c r="I6" s="9" t="inlineStr">
        <is>
          <t>CG01</t>
        </is>
      </c>
      <c r="J6" s="9" t="inlineStr">
        <is>
          <t>Single</t>
        </is>
      </c>
      <c r="K6" s="15" t="inlineStr">
        <is>
          <t>synthetic cause</t>
        </is>
      </c>
      <c r="L6" s="15" t="inlineStr">
        <is>
          <t>synthetic consequence</t>
        </is>
      </c>
      <c r="M6" s="15" t="inlineStr">
        <is>
          <t>synthetic controls</t>
        </is>
      </c>
      <c r="N6" s="9" t="inlineStr">
        <is>
          <t>Yes</t>
        </is>
      </c>
      <c r="O6" s="16" t="n">
        <v>0.5</v>
      </c>
      <c r="P6" s="17" t="n">
        <v>60000</v>
      </c>
      <c r="Q6" s="17" t="n">
        <v>180000</v>
      </c>
      <c r="R6" s="17" t="n">
        <v>500000</v>
      </c>
      <c r="S6" s="15" t="inlineStr">
        <is>
          <t>Wind Farm Beta capex basis</t>
        </is>
      </c>
      <c r="T6" s="9" t="inlineStr">
        <is>
          <t>Yes</t>
        </is>
      </c>
      <c r="U6" s="16" t="n">
        <v>0.5</v>
      </c>
      <c r="V6" s="18" t="n">
        <v>3</v>
      </c>
      <c r="W6" s="18" t="n">
        <v>7</v>
      </c>
      <c r="X6" s="18" t="n">
        <v>16</v>
      </c>
      <c r="Y6" s="15" t="inlineStr">
        <is>
          <t>Synthetic</t>
        </is>
      </c>
      <c r="Z6" s="9" t="inlineStr">
        <is>
          <t>Hybrid</t>
        </is>
      </c>
      <c r="AA6" s="9" t="inlineStr">
        <is>
          <t>per_occurrence</t>
        </is>
      </c>
      <c r="AB6" s="19">
        <f>IF(O6="","",O6*IF(OR(LOWER(H6)="pert",LOWER(H6)="binary/pert"),(P6+4*Q6+R6)/6,IF(LOWER(H6)="binary",Q6,IF(LOWER(H6)="lognormal",IF(Q6&lt;=0,0,IF(OR(R6&lt;=P6,R6&lt;=0,P6&lt;=0),ABS(Q6),Q6*EXP((MAX((LN(R6)-LN(P6))/(2*1.2816),0.01)^2)/2))),(P6+Q6+R6)/3))))</f>
        <v/>
      </c>
      <c r="AC6" s="20">
        <f>IF(OR(T6&lt;&gt;"Yes",U6=""),0,U6*(V6+4*W6+X6)/6*IFERROR(INDEX(Methodology!$B$2:$B$20,MATCH(Z6,Methodology!$A$2:$A$20,0)),0))</f>
        <v/>
      </c>
      <c r="AD6" s="19">
        <f>AC6*MC_day_rate</f>
        <v/>
      </c>
      <c r="AE6" s="9" t="n"/>
    </row>
    <row r="7">
      <c r="A7" s="9" t="inlineStr">
        <is>
          <t>WT-003</t>
        </is>
      </c>
      <c r="B7" s="9" t="inlineStr">
        <is>
          <t>Open</t>
        </is>
      </c>
      <c r="C7" s="15" t="inlineStr">
        <is>
          <t>Unforeseen ground conditions</t>
        </is>
      </c>
      <c r="D7" s="9" t="inlineStr">
        <is>
          <t>EPC Contractor</t>
        </is>
      </c>
      <c r="E7" s="9" t="inlineStr">
        <is>
          <t>Civil &amp; Earthworks</t>
        </is>
      </c>
      <c r="F7" s="9" t="inlineStr">
        <is>
          <t>Earthworks</t>
        </is>
      </c>
      <c r="G7" s="9" t="inlineStr">
        <is>
          <t>Yes</t>
        </is>
      </c>
      <c r="H7" s="9" t="inlineStr">
        <is>
          <t>Lognormal</t>
        </is>
      </c>
      <c r="I7" s="9" t="inlineStr">
        <is>
          <t>CG01</t>
        </is>
      </c>
      <c r="J7" s="9" t="n"/>
      <c r="K7" s="15" t="inlineStr">
        <is>
          <t>synthetic cause</t>
        </is>
      </c>
      <c r="L7" s="15" t="inlineStr">
        <is>
          <t>synthetic consequence</t>
        </is>
      </c>
      <c r="M7" s="15" t="inlineStr">
        <is>
          <t>synthetic controls</t>
        </is>
      </c>
      <c r="N7" s="9" t="inlineStr">
        <is>
          <t>Yes</t>
        </is>
      </c>
      <c r="O7" s="16" t="n">
        <v>0.35</v>
      </c>
      <c r="P7" s="17" t="n">
        <v>150000</v>
      </c>
      <c r="Q7" s="17" t="n">
        <v>400000</v>
      </c>
      <c r="R7" s="17" t="n">
        <v>1100000</v>
      </c>
      <c r="S7" s="15" t="inlineStr">
        <is>
          <t>Wind Farm Beta capex basis</t>
        </is>
      </c>
      <c r="T7" s="9" t="inlineStr">
        <is>
          <t>No</t>
        </is>
      </c>
      <c r="U7" s="16" t="n">
        <v>0</v>
      </c>
      <c r="V7" s="18" t="n">
        <v>0</v>
      </c>
      <c r="W7" s="18" t="n">
        <v>0</v>
      </c>
      <c r="X7" s="18" t="n">
        <v>0</v>
      </c>
      <c r="Y7" s="15" t="inlineStr">
        <is>
          <t>Synthetic</t>
        </is>
      </c>
      <c r="Z7" s="9" t="n"/>
      <c r="AA7" s="9" t="inlineStr">
        <is>
          <t>per_occurrence</t>
        </is>
      </c>
      <c r="AB7" s="19">
        <f>IF(O7="","",O7*IF(OR(LOWER(H7)="pert",LOWER(H7)="binary/pert"),(P7+4*Q7+R7)/6,IF(LOWER(H7)="binary",Q7,IF(LOWER(H7)="lognormal",IF(Q7&lt;=0,0,IF(OR(R7&lt;=P7,R7&lt;=0,P7&lt;=0),ABS(Q7),Q7*EXP((MAX((LN(R7)-LN(P7))/(2*1.2816),0.01)^2)/2))),(P7+Q7+R7)/3))))</f>
        <v/>
      </c>
      <c r="AC7" s="20">
        <f>IF(OR(T7&lt;&gt;"Yes",U7=""),0,U7*(V7+4*W7+X7)/6*IFERROR(INDEX(Methodology!$B$2:$B$20,MATCH(Z7,Methodology!$A$2:$A$20,0)),0))</f>
        <v/>
      </c>
      <c r="AD7" s="19">
        <f>AC7*MC_day_rate</f>
        <v/>
      </c>
      <c r="AE7" s="9" t="n"/>
    </row>
    <row r="8">
      <c r="A8" s="9" t="inlineStr">
        <is>
          <t>WT-004</t>
        </is>
      </c>
      <c r="B8" s="9" t="inlineStr">
        <is>
          <t>Open</t>
        </is>
      </c>
      <c r="C8" s="15" t="inlineStr">
        <is>
          <t>Hardstand settlement</t>
        </is>
      </c>
      <c r="D8" s="9" t="inlineStr">
        <is>
          <t>EPC Contractor</t>
        </is>
      </c>
      <c r="E8" s="9" t="inlineStr">
        <is>
          <t>Civil &amp; Earthworks</t>
        </is>
      </c>
      <c r="F8" s="9" t="inlineStr">
        <is>
          <t>Hardstands</t>
        </is>
      </c>
      <c r="G8" s="9" t="inlineStr">
        <is>
          <t>Yes</t>
        </is>
      </c>
      <c r="H8" s="9" t="inlineStr">
        <is>
          <t>PERT</t>
        </is>
      </c>
      <c r="I8" s="9" t="inlineStr">
        <is>
          <t>CG01</t>
        </is>
      </c>
      <c r="J8" s="9" t="n"/>
      <c r="K8" s="15" t="inlineStr">
        <is>
          <t>synthetic cause</t>
        </is>
      </c>
      <c r="L8" s="15" t="inlineStr">
        <is>
          <t>synthetic consequence</t>
        </is>
      </c>
      <c r="M8" s="15" t="inlineStr">
        <is>
          <t>synthetic controls</t>
        </is>
      </c>
      <c r="N8" s="9" t="inlineStr">
        <is>
          <t>Yes</t>
        </is>
      </c>
      <c r="O8" s="16" t="n">
        <v>0.25</v>
      </c>
      <c r="P8" s="17" t="n">
        <v>40000</v>
      </c>
      <c r="Q8" s="17" t="n">
        <v>120000</v>
      </c>
      <c r="R8" s="17" t="n">
        <v>350000</v>
      </c>
      <c r="S8" s="15" t="inlineStr">
        <is>
          <t>Wind Farm Beta capex basis</t>
        </is>
      </c>
      <c r="T8" s="9" t="inlineStr">
        <is>
          <t>No</t>
        </is>
      </c>
      <c r="U8" s="16" t="n">
        <v>0</v>
      </c>
      <c r="V8" s="18" t="n">
        <v>0</v>
      </c>
      <c r="W8" s="18" t="n">
        <v>0</v>
      </c>
      <c r="X8" s="18" t="n">
        <v>0</v>
      </c>
      <c r="Y8" s="15" t="inlineStr">
        <is>
          <t>Synthetic</t>
        </is>
      </c>
      <c r="Z8" s="9" t="n"/>
      <c r="AA8" s="9" t="inlineStr">
        <is>
          <t>per_occurrence</t>
        </is>
      </c>
      <c r="AB8" s="19">
        <f>IF(O8="","",O8*IF(OR(LOWER(H8)="pert",LOWER(H8)="binary/pert"),(P8+4*Q8+R8)/6,IF(LOWER(H8)="binary",Q8,IF(LOWER(H8)="lognormal",IF(Q8&lt;=0,0,IF(OR(R8&lt;=P8,R8&lt;=0,P8&lt;=0),ABS(Q8),Q8*EXP((MAX((LN(R8)-LN(P8))/(2*1.2816),0.01)^2)/2))),(P8+Q8+R8)/3))))</f>
        <v/>
      </c>
      <c r="AC8" s="20">
        <f>IF(OR(T8&lt;&gt;"Yes",U8=""),0,U8*(V8+4*W8+X8)/6*IFERROR(INDEX(Methodology!$B$2:$B$20,MATCH(Z8,Methodology!$A$2:$A$20,0)),0))</f>
        <v/>
      </c>
      <c r="AD8" s="19">
        <f>AC8*MC_day_rate</f>
        <v/>
      </c>
      <c r="AE8" s="9" t="n"/>
    </row>
    <row r="9">
      <c r="A9" s="9" t="inlineStr">
        <is>
          <t>WT-005</t>
        </is>
      </c>
      <c r="B9" s="9" t="inlineStr">
        <is>
          <t>Open</t>
        </is>
      </c>
      <c r="C9" s="15" t="inlineStr">
        <is>
          <t>Bulk earthworks quantity overrun</t>
        </is>
      </c>
      <c r="D9" s="9" t="inlineStr">
        <is>
          <t>EPC Contractor</t>
        </is>
      </c>
      <c r="E9" s="9" t="inlineStr">
        <is>
          <t>Civil &amp; Earthworks</t>
        </is>
      </c>
      <c r="F9" s="9" t="inlineStr">
        <is>
          <t>Earthworks</t>
        </is>
      </c>
      <c r="G9" s="9" t="inlineStr">
        <is>
          <t>Yes</t>
        </is>
      </c>
      <c r="H9" s="9" t="inlineStr">
        <is>
          <t>Triangular</t>
        </is>
      </c>
      <c r="I9" s="9" t="inlineStr">
        <is>
          <t>CG01</t>
        </is>
      </c>
      <c r="J9" s="9" t="n"/>
      <c r="K9" s="15" t="inlineStr">
        <is>
          <t>synthetic cause</t>
        </is>
      </c>
      <c r="L9" s="15" t="inlineStr">
        <is>
          <t>synthetic consequence</t>
        </is>
      </c>
      <c r="M9" s="15" t="inlineStr">
        <is>
          <t>synthetic controls</t>
        </is>
      </c>
      <c r="N9" s="9" t="inlineStr">
        <is>
          <t>Yes</t>
        </is>
      </c>
      <c r="O9" s="16" t="n">
        <v>0.55</v>
      </c>
      <c r="P9" s="17" t="n">
        <v>80000</v>
      </c>
      <c r="Q9" s="17" t="n">
        <v>220000</v>
      </c>
      <c r="R9" s="17" t="n">
        <v>480000</v>
      </c>
      <c r="S9" s="15" t="inlineStr">
        <is>
          <t>Wind Farm Beta capex basis</t>
        </is>
      </c>
      <c r="T9" s="9" t="inlineStr">
        <is>
          <t>No</t>
        </is>
      </c>
      <c r="U9" s="16" t="n">
        <v>0</v>
      </c>
      <c r="V9" s="18" t="n">
        <v>0</v>
      </c>
      <c r="W9" s="18" t="n">
        <v>0</v>
      </c>
      <c r="X9" s="18" t="n">
        <v>0</v>
      </c>
      <c r="Y9" s="15" t="inlineStr">
        <is>
          <t>Synthetic</t>
        </is>
      </c>
      <c r="Z9" s="9" t="n"/>
      <c r="AA9" s="9" t="inlineStr">
        <is>
          <t>per_occurrence</t>
        </is>
      </c>
      <c r="AB9" s="19">
        <f>IF(O9="","",O9*IF(OR(LOWER(H9)="pert",LOWER(H9)="binary/pert"),(P9+4*Q9+R9)/6,IF(LOWER(H9)="binary",Q9,IF(LOWER(H9)="lognormal",IF(Q9&lt;=0,0,IF(OR(R9&lt;=P9,R9&lt;=0,P9&lt;=0),ABS(Q9),Q9*EXP((MAX((LN(R9)-LN(P9))/(2*1.2816),0.01)^2)/2))),(P9+Q9+R9)/3))))</f>
        <v/>
      </c>
      <c r="AC9" s="20">
        <f>IF(OR(T9&lt;&gt;"Yes",U9=""),0,U9*(V9+4*W9+X9)/6*IFERROR(INDEX(Methodology!$B$2:$B$20,MATCH(Z9,Methodology!$A$2:$A$20,0)),0))</f>
        <v/>
      </c>
      <c r="AD9" s="19">
        <f>AC9*MC_day_rate</f>
        <v/>
      </c>
      <c r="AE9" s="9" t="n"/>
    </row>
    <row r="10">
      <c r="A10" s="9" t="inlineStr">
        <is>
          <t>WT-006</t>
        </is>
      </c>
      <c r="B10" s="9" t="inlineStr">
        <is>
          <t>Open</t>
        </is>
      </c>
      <c r="C10" s="15" t="inlineStr">
        <is>
          <t>Drainage &amp; culvert rework</t>
        </is>
      </c>
      <c r="D10" s="9" t="inlineStr">
        <is>
          <t>EPC Contractor</t>
        </is>
      </c>
      <c r="E10" s="9" t="inlineStr">
        <is>
          <t>Civil &amp; Earthworks</t>
        </is>
      </c>
      <c r="F10" s="9" t="inlineStr">
        <is>
          <t>Drainage</t>
        </is>
      </c>
      <c r="G10" s="9" t="inlineStr">
        <is>
          <t>Yes</t>
        </is>
      </c>
      <c r="H10" s="9" t="inlineStr">
        <is>
          <t>PERT</t>
        </is>
      </c>
      <c r="I10" s="9" t="inlineStr">
        <is>
          <t>CG01</t>
        </is>
      </c>
      <c r="J10" s="9" t="n"/>
      <c r="K10" s="15" t="inlineStr">
        <is>
          <t>synthetic cause</t>
        </is>
      </c>
      <c r="L10" s="15" t="inlineStr">
        <is>
          <t>synthetic consequence</t>
        </is>
      </c>
      <c r="M10" s="15" t="inlineStr">
        <is>
          <t>synthetic controls</t>
        </is>
      </c>
      <c r="N10" s="9" t="inlineStr">
        <is>
          <t>Yes</t>
        </is>
      </c>
      <c r="O10" s="16" t="n">
        <v>0.3</v>
      </c>
      <c r="P10" s="17" t="n">
        <v>50000</v>
      </c>
      <c r="Q10" s="17" t="n">
        <v>140000</v>
      </c>
      <c r="R10" s="17" t="n">
        <v>300000</v>
      </c>
      <c r="S10" s="15" t="inlineStr">
        <is>
          <t>Wind Farm Beta capex basis</t>
        </is>
      </c>
      <c r="T10" s="9" t="inlineStr">
        <is>
          <t>No</t>
        </is>
      </c>
      <c r="U10" s="16" t="n">
        <v>0</v>
      </c>
      <c r="V10" s="18" t="n">
        <v>0</v>
      </c>
      <c r="W10" s="18" t="n">
        <v>0</v>
      </c>
      <c r="X10" s="18" t="n">
        <v>0</v>
      </c>
      <c r="Y10" s="15" t="inlineStr">
        <is>
          <t>Synthetic</t>
        </is>
      </c>
      <c r="Z10" s="9" t="n"/>
      <c r="AA10" s="9" t="inlineStr">
        <is>
          <t>per_occurrence</t>
        </is>
      </c>
      <c r="AB10" s="19">
        <f>IF(O10="","",O10*IF(OR(LOWER(H10)="pert",LOWER(H10)="binary/pert"),(P10+4*Q10+R10)/6,IF(LOWER(H10)="binary",Q10,IF(LOWER(H10)="lognormal",IF(Q10&lt;=0,0,IF(OR(R10&lt;=P10,R10&lt;=0,P10&lt;=0),ABS(Q10),Q10*EXP((MAX((LN(R10)-LN(P10))/(2*1.2816),0.01)^2)/2))),(P10+Q10+R10)/3))))</f>
        <v/>
      </c>
      <c r="AC10" s="20">
        <f>IF(OR(T10&lt;&gt;"Yes",U10=""),0,U10*(V10+4*W10+X10)/6*IFERROR(INDEX(Methodology!$B$2:$B$20,MATCH(Z10,Methodology!$A$2:$A$20,0)),0))</f>
        <v/>
      </c>
      <c r="AD10" s="19">
        <f>AC10*MC_day_rate</f>
        <v/>
      </c>
      <c r="AE10" s="9" t="n"/>
    </row>
    <row r="11">
      <c r="A11" s="9" t="inlineStr">
        <is>
          <t>WT-007</t>
        </is>
      </c>
      <c r="B11" s="9" t="inlineStr">
        <is>
          <t>Open</t>
        </is>
      </c>
      <c r="C11" s="15" t="inlineStr">
        <is>
          <t>Erosion &amp; sediment control overrun</t>
        </is>
      </c>
      <c r="D11" s="9" t="inlineStr">
        <is>
          <t>Shared</t>
        </is>
      </c>
      <c r="E11" s="9" t="inlineStr">
        <is>
          <t>Civil &amp; Earthworks</t>
        </is>
      </c>
      <c r="F11" s="9" t="inlineStr">
        <is>
          <t>Environmental</t>
        </is>
      </c>
      <c r="G11" s="9" t="inlineStr">
        <is>
          <t>Yes</t>
        </is>
      </c>
      <c r="H11" s="9" t="inlineStr">
        <is>
          <t>Triangular</t>
        </is>
      </c>
      <c r="I11" s="9" t="inlineStr">
        <is>
          <t>CG01</t>
        </is>
      </c>
      <c r="J11" s="9" t="n"/>
      <c r="K11" s="15" t="inlineStr">
        <is>
          <t>synthetic cause</t>
        </is>
      </c>
      <c r="L11" s="15" t="inlineStr">
        <is>
          <t>synthetic consequence</t>
        </is>
      </c>
      <c r="M11" s="15" t="inlineStr">
        <is>
          <t>synthetic controls</t>
        </is>
      </c>
      <c r="N11" s="9" t="inlineStr">
        <is>
          <t>Yes</t>
        </is>
      </c>
      <c r="O11" s="16" t="n">
        <v>0.4</v>
      </c>
      <c r="P11" s="17" t="n">
        <v>30000</v>
      </c>
      <c r="Q11" s="17" t="n">
        <v>90000</v>
      </c>
      <c r="R11" s="17" t="n">
        <v>220000</v>
      </c>
      <c r="S11" s="15" t="inlineStr">
        <is>
          <t>Wind Farm Beta capex basis</t>
        </is>
      </c>
      <c r="T11" s="9" t="inlineStr">
        <is>
          <t>No</t>
        </is>
      </c>
      <c r="U11" s="16" t="n">
        <v>0</v>
      </c>
      <c r="V11" s="18" t="n">
        <v>0</v>
      </c>
      <c r="W11" s="18" t="n">
        <v>0</v>
      </c>
      <c r="X11" s="18" t="n">
        <v>0</v>
      </c>
      <c r="Y11" s="15" t="inlineStr">
        <is>
          <t>Synthetic</t>
        </is>
      </c>
      <c r="Z11" s="9" t="n"/>
      <c r="AA11" s="9" t="inlineStr">
        <is>
          <t>per_occurrence</t>
        </is>
      </c>
      <c r="AB11" s="19">
        <f>IF(O11="","",O11*IF(OR(LOWER(H11)="pert",LOWER(H11)="binary/pert"),(P11+4*Q11+R11)/6,IF(LOWER(H11)="binary",Q11,IF(LOWER(H11)="lognormal",IF(Q11&lt;=0,0,IF(OR(R11&lt;=P11,R11&lt;=0,P11&lt;=0),ABS(Q11),Q11*EXP((MAX((LN(R11)-LN(P11))/(2*1.2816),0.01)^2)/2))),(P11+Q11+R11)/3))))</f>
        <v/>
      </c>
      <c r="AC11" s="20">
        <f>IF(OR(T11&lt;&gt;"Yes",U11=""),0,U11*(V11+4*W11+X11)/6*IFERROR(INDEX(Methodology!$B$2:$B$20,MATCH(Z11,Methodology!$A$2:$A$20,0)),0))</f>
        <v/>
      </c>
      <c r="AD11" s="19">
        <f>AC11*MC_day_rate</f>
        <v/>
      </c>
      <c r="AE11" s="9" t="n"/>
    </row>
    <row r="12">
      <c r="A12" s="9" t="inlineStr">
        <is>
          <t>WT-008</t>
        </is>
      </c>
      <c r="B12" s="9" t="inlineStr">
        <is>
          <t>Open</t>
        </is>
      </c>
      <c r="C12" s="15" t="inlineStr">
        <is>
          <t>WTG delivery delay (long-lead)</t>
        </is>
      </c>
      <c r="D12" s="9" t="inlineStr">
        <is>
          <t>Wind Farm Owner</t>
        </is>
      </c>
      <c r="E12" s="9" t="inlineStr">
        <is>
          <t>Turbine Supply &amp; Erection</t>
        </is>
      </c>
      <c r="F12" s="9" t="inlineStr">
        <is>
          <t>Procurement</t>
        </is>
      </c>
      <c r="G12" s="9" t="inlineStr">
        <is>
          <t>Yes</t>
        </is>
      </c>
      <c r="H12" s="9" t="inlineStr">
        <is>
          <t>PERT</t>
        </is>
      </c>
      <c r="I12" s="9" t="inlineStr">
        <is>
          <t>CG02</t>
        </is>
      </c>
      <c r="J12" s="9" t="n"/>
      <c r="K12" s="15" t="inlineStr">
        <is>
          <t>synthetic cause</t>
        </is>
      </c>
      <c r="L12" s="15" t="inlineStr">
        <is>
          <t>synthetic consequence</t>
        </is>
      </c>
      <c r="M12" s="15" t="inlineStr">
        <is>
          <t>synthetic controls</t>
        </is>
      </c>
      <c r="N12" s="9" t="inlineStr">
        <is>
          <t>Yes</t>
        </is>
      </c>
      <c r="O12" s="16" t="n">
        <v>0.4</v>
      </c>
      <c r="P12" s="17" t="n">
        <v>200000</v>
      </c>
      <c r="Q12" s="17" t="n">
        <v>600000</v>
      </c>
      <c r="R12" s="17" t="n">
        <v>1500000</v>
      </c>
      <c r="S12" s="15" t="inlineStr">
        <is>
          <t>Wind Farm Beta capex basis</t>
        </is>
      </c>
      <c r="T12" s="9" t="inlineStr">
        <is>
          <t>Yes</t>
        </is>
      </c>
      <c r="U12" s="16" t="n">
        <v>0.4</v>
      </c>
      <c r="V12" s="18" t="n">
        <v>8</v>
      </c>
      <c r="W12" s="18" t="n">
        <v>20</v>
      </c>
      <c r="X12" s="18" t="n">
        <v>45</v>
      </c>
      <c r="Y12" s="15" t="inlineStr">
        <is>
          <t>Synthetic</t>
        </is>
      </c>
      <c r="Z12" s="9" t="inlineStr">
        <is>
          <t>Series</t>
        </is>
      </c>
      <c r="AA12" s="9" t="inlineStr">
        <is>
          <t>per_occurrence</t>
        </is>
      </c>
      <c r="AB12" s="19">
        <f>IF(O12="","",O12*IF(OR(LOWER(H12)="pert",LOWER(H12)="binary/pert"),(P12+4*Q12+R12)/6,IF(LOWER(H12)="binary",Q12,IF(LOWER(H12)="lognormal",IF(Q12&lt;=0,0,IF(OR(R12&lt;=P12,R12&lt;=0,P12&lt;=0),ABS(Q12),Q12*EXP((MAX((LN(R12)-LN(P12))/(2*1.2816),0.01)^2)/2))),(P12+Q12+R12)/3))))</f>
        <v/>
      </c>
      <c r="AC12" s="20">
        <f>IF(OR(T12&lt;&gt;"Yes",U12=""),0,U12*(V12+4*W12+X12)/6*IFERROR(INDEX(Methodology!$B$2:$B$20,MATCH(Z12,Methodology!$A$2:$A$20,0)),0))</f>
        <v/>
      </c>
      <c r="AD12" s="19">
        <f>AC12*MC_day_rate</f>
        <v/>
      </c>
      <c r="AE12" s="9" t="n"/>
    </row>
    <row r="13">
      <c r="A13" s="9" t="inlineStr">
        <is>
          <t>WT-009</t>
        </is>
      </c>
      <c r="B13" s="9" t="inlineStr">
        <is>
          <t>Open</t>
        </is>
      </c>
      <c r="C13" s="15" t="inlineStr">
        <is>
          <t>Main crane mobilisation delay</t>
        </is>
      </c>
      <c r="D13" s="9" t="inlineStr">
        <is>
          <t>EPC Contractor</t>
        </is>
      </c>
      <c r="E13" s="9" t="inlineStr">
        <is>
          <t>Turbine Supply &amp; Erection</t>
        </is>
      </c>
      <c r="F13" s="9" t="inlineStr">
        <is>
          <t>Heavy Lift</t>
        </is>
      </c>
      <c r="G13" s="9" t="inlineStr">
        <is>
          <t>Yes</t>
        </is>
      </c>
      <c r="H13" s="9" t="inlineStr">
        <is>
          <t>Triangular</t>
        </is>
      </c>
      <c r="I13" s="9" t="inlineStr">
        <is>
          <t>CG02</t>
        </is>
      </c>
      <c r="J13" s="9" t="n"/>
      <c r="K13" s="15" t="inlineStr">
        <is>
          <t>synthetic cause</t>
        </is>
      </c>
      <c r="L13" s="15" t="inlineStr">
        <is>
          <t>synthetic consequence</t>
        </is>
      </c>
      <c r="M13" s="15" t="inlineStr">
        <is>
          <t>synthetic controls</t>
        </is>
      </c>
      <c r="N13" s="9" t="inlineStr">
        <is>
          <t>Yes</t>
        </is>
      </c>
      <c r="O13" s="16" t="n">
        <v>0.45</v>
      </c>
      <c r="P13" s="17" t="n">
        <v>150000</v>
      </c>
      <c r="Q13" s="17" t="n">
        <v>450000</v>
      </c>
      <c r="R13" s="17" t="n">
        <v>1200000</v>
      </c>
      <c r="S13" s="15" t="inlineStr">
        <is>
          <t>Wind Farm Beta capex basis</t>
        </is>
      </c>
      <c r="T13" s="9" t="inlineStr">
        <is>
          <t>Yes</t>
        </is>
      </c>
      <c r="U13" s="16" t="n">
        <v>0.45</v>
      </c>
      <c r="V13" s="18" t="n">
        <v>4</v>
      </c>
      <c r="W13" s="18" t="n">
        <v>10</v>
      </c>
      <c r="X13" s="18" t="n">
        <v>24</v>
      </c>
      <c r="Y13" s="15" t="inlineStr">
        <is>
          <t>Synthetic</t>
        </is>
      </c>
      <c r="Z13" s="9" t="inlineStr">
        <is>
          <t>Hybrid</t>
        </is>
      </c>
      <c r="AA13" s="9" t="inlineStr">
        <is>
          <t>per_occurrence</t>
        </is>
      </c>
      <c r="AB13" s="19">
        <f>IF(O13="","",O13*IF(OR(LOWER(H13)="pert",LOWER(H13)="binary/pert"),(P13+4*Q13+R13)/6,IF(LOWER(H13)="binary",Q13,IF(LOWER(H13)="lognormal",IF(Q13&lt;=0,0,IF(OR(R13&lt;=P13,R13&lt;=0,P13&lt;=0),ABS(Q13),Q13*EXP((MAX((LN(R13)-LN(P13))/(2*1.2816),0.01)^2)/2))),(P13+Q13+R13)/3))))</f>
        <v/>
      </c>
      <c r="AC13" s="20">
        <f>IF(OR(T13&lt;&gt;"Yes",U13=""),0,U13*(V13+4*W13+X13)/6*IFERROR(INDEX(Methodology!$B$2:$B$20,MATCH(Z13,Methodology!$A$2:$A$20,0)),0))</f>
        <v/>
      </c>
      <c r="AD13" s="19">
        <f>AC13*MC_day_rate</f>
        <v/>
      </c>
      <c r="AE13" s="9" t="n"/>
    </row>
    <row r="14">
      <c r="A14" s="9" t="inlineStr">
        <is>
          <t>WT-010</t>
        </is>
      </c>
      <c r="B14" s="9" t="inlineStr">
        <is>
          <t>Open</t>
        </is>
      </c>
      <c r="C14" s="15" t="inlineStr">
        <is>
          <t>Blade transport damage</t>
        </is>
      </c>
      <c r="D14" s="9" t="inlineStr">
        <is>
          <t>EPC Contractor</t>
        </is>
      </c>
      <c r="E14" s="9" t="inlineStr">
        <is>
          <t>Turbine Supply &amp; Erection</t>
        </is>
      </c>
      <c r="F14" s="9" t="inlineStr">
        <is>
          <t>Logistics</t>
        </is>
      </c>
      <c r="G14" s="9" t="inlineStr">
        <is>
          <t>Yes</t>
        </is>
      </c>
      <c r="H14" s="9" t="inlineStr">
        <is>
          <t>PERT</t>
        </is>
      </c>
      <c r="I14" s="9" t="inlineStr">
        <is>
          <t>CG02</t>
        </is>
      </c>
      <c r="J14" s="9" t="n"/>
      <c r="K14" s="15" t="inlineStr">
        <is>
          <t>synthetic cause</t>
        </is>
      </c>
      <c r="L14" s="15" t="inlineStr">
        <is>
          <t>synthetic consequence</t>
        </is>
      </c>
      <c r="M14" s="15" t="inlineStr">
        <is>
          <t>synthetic controls</t>
        </is>
      </c>
      <c r="N14" s="9" t="inlineStr">
        <is>
          <t>Yes</t>
        </is>
      </c>
      <c r="O14" s="16" t="n">
        <v>0.3</v>
      </c>
      <c r="P14" s="17" t="n">
        <v>120000</v>
      </c>
      <c r="Q14" s="17" t="n">
        <v>350000</v>
      </c>
      <c r="R14" s="17" t="n">
        <v>900000</v>
      </c>
      <c r="S14" s="15" t="inlineStr">
        <is>
          <t>Wind Farm Beta capex basis</t>
        </is>
      </c>
      <c r="T14" s="9" t="inlineStr">
        <is>
          <t>No</t>
        </is>
      </c>
      <c r="U14" s="16" t="n">
        <v>0</v>
      </c>
      <c r="V14" s="18" t="n">
        <v>0</v>
      </c>
      <c r="W14" s="18" t="n">
        <v>0</v>
      </c>
      <c r="X14" s="18" t="n">
        <v>0</v>
      </c>
      <c r="Y14" s="15" t="inlineStr">
        <is>
          <t>Synthetic</t>
        </is>
      </c>
      <c r="Z14" s="9" t="n"/>
      <c r="AA14" s="9" t="inlineStr">
        <is>
          <t>per_occurrence</t>
        </is>
      </c>
      <c r="AB14" s="19">
        <f>IF(O14="","",O14*IF(OR(LOWER(H14)="pert",LOWER(H14)="binary/pert"),(P14+4*Q14+R14)/6,IF(LOWER(H14)="binary",Q14,IF(LOWER(H14)="lognormal",IF(Q14&lt;=0,0,IF(OR(R14&lt;=P14,R14&lt;=0,P14&lt;=0),ABS(Q14),Q14*EXP((MAX((LN(R14)-LN(P14))/(2*1.2816),0.01)^2)/2))),(P14+Q14+R14)/3))))</f>
        <v/>
      </c>
      <c r="AC14" s="20">
        <f>IF(OR(T14&lt;&gt;"Yes",U14=""),0,U14*(V14+4*W14+X14)/6*IFERROR(INDEX(Methodology!$B$2:$B$20,MATCH(Z14,Methodology!$A$2:$A$20,0)),0))</f>
        <v/>
      </c>
      <c r="AD14" s="19">
        <f>AC14*MC_day_rate</f>
        <v/>
      </c>
      <c r="AE14" s="9" t="n"/>
    </row>
    <row r="15">
      <c r="A15" s="9" t="inlineStr">
        <is>
          <t>WT-011</t>
        </is>
      </c>
      <c r="B15" s="9" t="inlineStr">
        <is>
          <t>Open</t>
        </is>
      </c>
      <c r="C15" s="15" t="inlineStr">
        <is>
          <t>Tower section nonconformance</t>
        </is>
      </c>
      <c r="D15" s="9" t="inlineStr">
        <is>
          <t>Wind Farm Owner</t>
        </is>
      </c>
      <c r="E15" s="9" t="inlineStr">
        <is>
          <t>Turbine Supply &amp; Erection</t>
        </is>
      </c>
      <c r="F15" s="9" t="inlineStr">
        <is>
          <t>Quality</t>
        </is>
      </c>
      <c r="G15" s="9" t="inlineStr">
        <is>
          <t>Yes</t>
        </is>
      </c>
      <c r="H15" s="9" t="inlineStr">
        <is>
          <t>Lognormal</t>
        </is>
      </c>
      <c r="I15" s="9" t="inlineStr">
        <is>
          <t>CG02</t>
        </is>
      </c>
      <c r="J15" s="9" t="n"/>
      <c r="K15" s="15" t="inlineStr">
        <is>
          <t>synthetic cause</t>
        </is>
      </c>
      <c r="L15" s="15" t="inlineStr">
        <is>
          <t>synthetic consequence</t>
        </is>
      </c>
      <c r="M15" s="15" t="inlineStr">
        <is>
          <t>synthetic controls</t>
        </is>
      </c>
      <c r="N15" s="9" t="inlineStr">
        <is>
          <t>Yes</t>
        </is>
      </c>
      <c r="O15" s="16" t="n">
        <v>0.25</v>
      </c>
      <c r="P15" s="17" t="n">
        <v>200000</v>
      </c>
      <c r="Q15" s="17" t="n">
        <v>500000</v>
      </c>
      <c r="R15" s="17" t="n">
        <v>1400000</v>
      </c>
      <c r="S15" s="15" t="inlineStr">
        <is>
          <t>Wind Farm Beta capex basis</t>
        </is>
      </c>
      <c r="T15" s="9" t="inlineStr">
        <is>
          <t>No</t>
        </is>
      </c>
      <c r="U15" s="16" t="n">
        <v>0</v>
      </c>
      <c r="V15" s="18" t="n">
        <v>0</v>
      </c>
      <c r="W15" s="18" t="n">
        <v>0</v>
      </c>
      <c r="X15" s="18" t="n">
        <v>0</v>
      </c>
      <c r="Y15" s="15" t="inlineStr">
        <is>
          <t>Synthetic</t>
        </is>
      </c>
      <c r="Z15" s="9" t="n"/>
      <c r="AA15" s="9" t="inlineStr">
        <is>
          <t>per_occurrence</t>
        </is>
      </c>
      <c r="AB15" s="19">
        <f>IF(O15="","",O15*IF(OR(LOWER(H15)="pert",LOWER(H15)="binary/pert"),(P15+4*Q15+R15)/6,IF(LOWER(H15)="binary",Q15,IF(LOWER(H15)="lognormal",IF(Q15&lt;=0,0,IF(OR(R15&lt;=P15,R15&lt;=0,P15&lt;=0),ABS(Q15),Q15*EXP((MAX((LN(R15)-LN(P15))/(2*1.2816),0.01)^2)/2))),(P15+Q15+R15)/3))))</f>
        <v/>
      </c>
      <c r="AC15" s="20">
        <f>IF(OR(T15&lt;&gt;"Yes",U15=""),0,U15*(V15+4*W15+X15)/6*IFERROR(INDEX(Methodology!$B$2:$B$20,MATCH(Z15,Methodology!$A$2:$A$20,0)),0))</f>
        <v/>
      </c>
      <c r="AD15" s="19">
        <f>AC15*MC_day_rate</f>
        <v/>
      </c>
      <c r="AE15" s="9" t="n"/>
    </row>
    <row r="16">
      <c r="A16" s="9" t="inlineStr">
        <is>
          <t>WT-012</t>
        </is>
      </c>
      <c r="B16" s="9" t="inlineStr">
        <is>
          <t>Open</t>
        </is>
      </c>
      <c r="C16" s="15" t="inlineStr">
        <is>
          <t>Erection weather standby</t>
        </is>
      </c>
      <c r="D16" s="9" t="inlineStr">
        <is>
          <t>EPC Contractor</t>
        </is>
      </c>
      <c r="E16" s="9" t="inlineStr">
        <is>
          <t>Turbine Supply &amp; Erection</t>
        </is>
      </c>
      <c r="F16" s="9" t="inlineStr">
        <is>
          <t>Weather</t>
        </is>
      </c>
      <c r="G16" s="9" t="inlineStr">
        <is>
          <t>Yes</t>
        </is>
      </c>
      <c r="H16" s="9" t="inlineStr">
        <is>
          <t>Triangular</t>
        </is>
      </c>
      <c r="I16" s="9" t="inlineStr">
        <is>
          <t>CG02</t>
        </is>
      </c>
      <c r="J16" s="9" t="n"/>
      <c r="K16" s="15" t="inlineStr">
        <is>
          <t>synthetic cause</t>
        </is>
      </c>
      <c r="L16" s="15" t="inlineStr">
        <is>
          <t>synthetic consequence</t>
        </is>
      </c>
      <c r="M16" s="15" t="inlineStr">
        <is>
          <t>synthetic controls</t>
        </is>
      </c>
      <c r="N16" s="9" t="inlineStr">
        <is>
          <t>Yes</t>
        </is>
      </c>
      <c r="O16" s="16" t="n">
        <v>0.6</v>
      </c>
      <c r="P16" s="17" t="n">
        <v>100000</v>
      </c>
      <c r="Q16" s="17" t="n">
        <v>300000</v>
      </c>
      <c r="R16" s="17" t="n">
        <v>800000</v>
      </c>
      <c r="S16" s="15" t="inlineStr">
        <is>
          <t>Wind Farm Beta capex basis</t>
        </is>
      </c>
      <c r="T16" s="9" t="inlineStr">
        <is>
          <t>No</t>
        </is>
      </c>
      <c r="U16" s="16" t="n">
        <v>0</v>
      </c>
      <c r="V16" s="18" t="n">
        <v>0</v>
      </c>
      <c r="W16" s="18" t="n">
        <v>0</v>
      </c>
      <c r="X16" s="18" t="n">
        <v>0</v>
      </c>
      <c r="Y16" s="15" t="inlineStr">
        <is>
          <t>Synthetic</t>
        </is>
      </c>
      <c r="Z16" s="9" t="n"/>
      <c r="AA16" s="9" t="inlineStr">
        <is>
          <t>per_occurrence</t>
        </is>
      </c>
      <c r="AB16" s="19">
        <f>IF(O16="","",O16*IF(OR(LOWER(H16)="pert",LOWER(H16)="binary/pert"),(P16+4*Q16+R16)/6,IF(LOWER(H16)="binary",Q16,IF(LOWER(H16)="lognormal",IF(Q16&lt;=0,0,IF(OR(R16&lt;=P16,R16&lt;=0,P16&lt;=0),ABS(Q16),Q16*EXP((MAX((LN(R16)-LN(P16))/(2*1.2816),0.01)^2)/2))),(P16+Q16+R16)/3))))</f>
        <v/>
      </c>
      <c r="AC16" s="20">
        <f>IF(OR(T16&lt;&gt;"Yes",U16=""),0,U16*(V16+4*W16+X16)/6*IFERROR(INDEX(Methodology!$B$2:$B$20,MATCH(Z16,Methodology!$A$2:$A$20,0)),0))</f>
        <v/>
      </c>
      <c r="AD16" s="19">
        <f>AC16*MC_day_rate</f>
        <v/>
      </c>
      <c r="AE16" s="9" t="n"/>
    </row>
    <row r="17">
      <c r="A17" s="9" t="inlineStr">
        <is>
          <t>WT-013</t>
        </is>
      </c>
      <c r="B17" s="9" t="inlineStr">
        <is>
          <t>Open</t>
        </is>
      </c>
      <c r="C17" s="15" t="inlineStr">
        <is>
          <t>Bolt tensioning / torque rework</t>
        </is>
      </c>
      <c r="D17" s="9" t="inlineStr">
        <is>
          <t>EPC Contractor</t>
        </is>
      </c>
      <c r="E17" s="9" t="inlineStr">
        <is>
          <t>Turbine Supply &amp; Erection</t>
        </is>
      </c>
      <c r="F17" s="9" t="inlineStr">
        <is>
          <t>Mechanical</t>
        </is>
      </c>
      <c r="G17" s="9" t="inlineStr">
        <is>
          <t>Yes</t>
        </is>
      </c>
      <c r="H17" s="9" t="inlineStr">
        <is>
          <t>PERT</t>
        </is>
      </c>
      <c r="I17" s="9" t="inlineStr">
        <is>
          <t>CG02</t>
        </is>
      </c>
      <c r="J17" s="9" t="n"/>
      <c r="K17" s="15" t="inlineStr">
        <is>
          <t>synthetic cause</t>
        </is>
      </c>
      <c r="L17" s="15" t="inlineStr">
        <is>
          <t>synthetic consequence</t>
        </is>
      </c>
      <c r="M17" s="15" t="inlineStr">
        <is>
          <t>synthetic controls</t>
        </is>
      </c>
      <c r="N17" s="9" t="inlineStr">
        <is>
          <t>Yes</t>
        </is>
      </c>
      <c r="O17" s="16" t="n">
        <v>0.35</v>
      </c>
      <c r="P17" s="17" t="n">
        <v>60000</v>
      </c>
      <c r="Q17" s="17" t="n">
        <v>180000</v>
      </c>
      <c r="R17" s="17" t="n">
        <v>450000</v>
      </c>
      <c r="S17" s="15" t="inlineStr">
        <is>
          <t>Wind Farm Beta capex basis</t>
        </is>
      </c>
      <c r="T17" s="9" t="inlineStr">
        <is>
          <t>No</t>
        </is>
      </c>
      <c r="U17" s="16" t="n">
        <v>0</v>
      </c>
      <c r="V17" s="18" t="n">
        <v>0</v>
      </c>
      <c r="W17" s="18" t="n">
        <v>0</v>
      </c>
      <c r="X17" s="18" t="n">
        <v>0</v>
      </c>
      <c r="Y17" s="15" t="inlineStr">
        <is>
          <t>Synthetic</t>
        </is>
      </c>
      <c r="Z17" s="9" t="n"/>
      <c r="AA17" s="9" t="inlineStr">
        <is>
          <t>per_occurrence</t>
        </is>
      </c>
      <c r="AB17" s="19">
        <f>IF(O17="","",O17*IF(OR(LOWER(H17)="pert",LOWER(H17)="binary/pert"),(P17+4*Q17+R17)/6,IF(LOWER(H17)="binary",Q17,IF(LOWER(H17)="lognormal",IF(Q17&lt;=0,0,IF(OR(R17&lt;=P17,R17&lt;=0,P17&lt;=0),ABS(Q17),Q17*EXP((MAX((LN(R17)-LN(P17))/(2*1.2816),0.01)^2)/2))),(P17+Q17+R17)/3))))</f>
        <v/>
      </c>
      <c r="AC17" s="20">
        <f>IF(OR(T17&lt;&gt;"Yes",U17=""),0,U17*(V17+4*W17+X17)/6*IFERROR(INDEX(Methodology!$B$2:$B$20,MATCH(Z17,Methodology!$A$2:$A$20,0)),0))</f>
        <v/>
      </c>
      <c r="AD17" s="19">
        <f>AC17*MC_day_rate</f>
        <v/>
      </c>
      <c r="AE17" s="9" t="n"/>
    </row>
    <row r="18">
      <c r="A18" s="9" t="inlineStr">
        <is>
          <t>WT-014</t>
        </is>
      </c>
      <c r="B18" s="9" t="inlineStr">
        <is>
          <t>Open</t>
        </is>
      </c>
      <c r="C18" s="15" t="inlineStr">
        <is>
          <t>Major component warranty defect</t>
        </is>
      </c>
      <c r="D18" s="9" t="inlineStr">
        <is>
          <t>Wind Farm Owner</t>
        </is>
      </c>
      <c r="E18" s="9" t="inlineStr">
        <is>
          <t>Turbine Supply &amp; Erection</t>
        </is>
      </c>
      <c r="F18" s="9" t="inlineStr">
        <is>
          <t>Warranty</t>
        </is>
      </c>
      <c r="G18" s="9" t="inlineStr">
        <is>
          <t>Yes</t>
        </is>
      </c>
      <c r="H18" s="9" t="inlineStr">
        <is>
          <t>PERT</t>
        </is>
      </c>
      <c r="I18" s="9" t="inlineStr">
        <is>
          <t>CG02</t>
        </is>
      </c>
      <c r="J18" s="9" t="n"/>
      <c r="K18" s="15" t="inlineStr">
        <is>
          <t>synthetic cause</t>
        </is>
      </c>
      <c r="L18" s="15" t="inlineStr">
        <is>
          <t>synthetic consequence</t>
        </is>
      </c>
      <c r="M18" s="15" t="inlineStr">
        <is>
          <t>synthetic controls</t>
        </is>
      </c>
      <c r="N18" s="9" t="inlineStr">
        <is>
          <t>Yes</t>
        </is>
      </c>
      <c r="O18" s="16" t="n">
        <v>0.2</v>
      </c>
      <c r="P18" s="17" t="n">
        <v>250000</v>
      </c>
      <c r="Q18" s="17" t="n">
        <v>700000</v>
      </c>
      <c r="R18" s="17" t="n">
        <v>2000000</v>
      </c>
      <c r="S18" s="15" t="inlineStr">
        <is>
          <t>Wind Farm Beta capex basis</t>
        </is>
      </c>
      <c r="T18" s="9" t="inlineStr">
        <is>
          <t>No</t>
        </is>
      </c>
      <c r="U18" s="16" t="n">
        <v>0</v>
      </c>
      <c r="V18" s="18" t="n">
        <v>0</v>
      </c>
      <c r="W18" s="18" t="n">
        <v>0</v>
      </c>
      <c r="X18" s="18" t="n">
        <v>0</v>
      </c>
      <c r="Y18" s="15" t="inlineStr">
        <is>
          <t>Synthetic</t>
        </is>
      </c>
      <c r="Z18" s="9" t="n"/>
      <c r="AA18" s="9" t="inlineStr">
        <is>
          <t>per_occurrence</t>
        </is>
      </c>
      <c r="AB18" s="19">
        <f>IF(O18="","",O18*IF(OR(LOWER(H18)="pert",LOWER(H18)="binary/pert"),(P18+4*Q18+R18)/6,IF(LOWER(H18)="binary",Q18,IF(LOWER(H18)="lognormal",IF(Q18&lt;=0,0,IF(OR(R18&lt;=P18,R18&lt;=0,P18&lt;=0),ABS(Q18),Q18*EXP((MAX((LN(R18)-LN(P18))/(2*1.2816),0.01)^2)/2))),(P18+Q18+R18)/3))))</f>
        <v/>
      </c>
      <c r="AC18" s="20">
        <f>IF(OR(T18&lt;&gt;"Yes",U18=""),0,U18*(V18+4*W18+X18)/6*IFERROR(INDEX(Methodology!$B$2:$B$20,MATCH(Z18,Methodology!$A$2:$A$20,0)),0))</f>
        <v/>
      </c>
      <c r="AD18" s="19">
        <f>AC18*MC_day_rate</f>
        <v/>
      </c>
      <c r="AE18" s="9" t="n"/>
    </row>
    <row r="19">
      <c r="A19" s="9" t="inlineStr">
        <is>
          <t>WT-015</t>
        </is>
      </c>
      <c r="B19" s="9" t="inlineStr">
        <is>
          <t>Open</t>
        </is>
      </c>
      <c r="C19" s="15" t="inlineStr">
        <is>
          <t>Gearbox / main-bearing replacement</t>
        </is>
      </c>
      <c r="D19" s="9" t="inlineStr">
        <is>
          <t>Wind Farm Owner</t>
        </is>
      </c>
      <c r="E19" s="9" t="inlineStr">
        <is>
          <t>Turbine Supply &amp; Erection</t>
        </is>
      </c>
      <c r="F19" s="9" t="inlineStr">
        <is>
          <t>Mechanical</t>
        </is>
      </c>
      <c r="G19" s="9" t="inlineStr">
        <is>
          <t>Yes</t>
        </is>
      </c>
      <c r="H19" s="9" t="inlineStr">
        <is>
          <t>Lognormal</t>
        </is>
      </c>
      <c r="I19" s="9" t="inlineStr">
        <is>
          <t>CG02</t>
        </is>
      </c>
      <c r="J19" s="9" t="n"/>
      <c r="K19" s="15" t="inlineStr">
        <is>
          <t>synthetic cause</t>
        </is>
      </c>
      <c r="L19" s="15" t="inlineStr">
        <is>
          <t>synthetic consequence</t>
        </is>
      </c>
      <c r="M19" s="15" t="inlineStr">
        <is>
          <t>synthetic controls</t>
        </is>
      </c>
      <c r="N19" s="9" t="inlineStr">
        <is>
          <t>Yes</t>
        </is>
      </c>
      <c r="O19" s="16" t="n">
        <v>0.15</v>
      </c>
      <c r="P19" s="17" t="n">
        <v>300000</v>
      </c>
      <c r="Q19" s="17" t="n">
        <v>800000</v>
      </c>
      <c r="R19" s="17" t="n">
        <v>2400000</v>
      </c>
      <c r="S19" s="15" t="inlineStr">
        <is>
          <t>Wind Farm Beta capex basis</t>
        </is>
      </c>
      <c r="T19" s="9" t="inlineStr">
        <is>
          <t>No</t>
        </is>
      </c>
      <c r="U19" s="16" t="n">
        <v>0</v>
      </c>
      <c r="V19" s="18" t="n">
        <v>0</v>
      </c>
      <c r="W19" s="18" t="n">
        <v>0</v>
      </c>
      <c r="X19" s="18" t="n">
        <v>0</v>
      </c>
      <c r="Y19" s="15" t="inlineStr">
        <is>
          <t>Synthetic</t>
        </is>
      </c>
      <c r="Z19" s="9" t="n"/>
      <c r="AA19" s="9" t="inlineStr">
        <is>
          <t>per_occurrence</t>
        </is>
      </c>
      <c r="AB19" s="19">
        <f>IF(O19="","",O19*IF(OR(LOWER(H19)="pert",LOWER(H19)="binary/pert"),(P19+4*Q19+R19)/6,IF(LOWER(H19)="binary",Q19,IF(LOWER(H19)="lognormal",IF(Q19&lt;=0,0,IF(OR(R19&lt;=P19,R19&lt;=0,P19&lt;=0),ABS(Q19),Q19*EXP((MAX((LN(R19)-LN(P19))/(2*1.2816),0.01)^2)/2))),(P19+Q19+R19)/3))))</f>
        <v/>
      </c>
      <c r="AC19" s="20">
        <f>IF(OR(T19&lt;&gt;"Yes",U19=""),0,U19*(V19+4*W19+X19)/6*IFERROR(INDEX(Methodology!$B$2:$B$20,MATCH(Z19,Methodology!$A$2:$A$20,0)),0))</f>
        <v/>
      </c>
      <c r="AD19" s="19">
        <f>AC19*MC_day_rate</f>
        <v/>
      </c>
      <c r="AE19" s="9" t="n"/>
    </row>
    <row r="20">
      <c r="A20" s="9" t="inlineStr">
        <is>
          <t>WT-016</t>
        </is>
      </c>
      <c r="B20" s="9" t="inlineStr">
        <is>
          <t>Open</t>
        </is>
      </c>
      <c r="C20" s="15" t="inlineStr">
        <is>
          <t>Array cable supply shortfall</t>
        </is>
      </c>
      <c r="D20" s="9" t="inlineStr">
        <is>
          <t>EPC Contractor</t>
        </is>
      </c>
      <c r="E20" s="9" t="inlineStr">
        <is>
          <t>Electrical Reticulation</t>
        </is>
      </c>
      <c r="F20" s="9" t="inlineStr">
        <is>
          <t>Procurement</t>
        </is>
      </c>
      <c r="G20" s="9" t="inlineStr">
        <is>
          <t>Yes</t>
        </is>
      </c>
      <c r="H20" s="9" t="inlineStr">
        <is>
          <t>PERT</t>
        </is>
      </c>
      <c r="I20" s="9" t="inlineStr">
        <is>
          <t>CG03</t>
        </is>
      </c>
      <c r="J20" s="9" t="n"/>
      <c r="K20" s="15" t="inlineStr">
        <is>
          <t>synthetic cause</t>
        </is>
      </c>
      <c r="L20" s="15" t="inlineStr">
        <is>
          <t>synthetic consequence</t>
        </is>
      </c>
      <c r="M20" s="15" t="inlineStr">
        <is>
          <t>synthetic controls</t>
        </is>
      </c>
      <c r="N20" s="9" t="inlineStr">
        <is>
          <t>Yes</t>
        </is>
      </c>
      <c r="O20" s="16" t="n">
        <v>0.45</v>
      </c>
      <c r="P20" s="17" t="n">
        <v>90000</v>
      </c>
      <c r="Q20" s="17" t="n">
        <v>250000</v>
      </c>
      <c r="R20" s="17" t="n">
        <v>600000</v>
      </c>
      <c r="S20" s="15" t="inlineStr">
        <is>
          <t>Wind Farm Beta capex basis</t>
        </is>
      </c>
      <c r="T20" s="9" t="inlineStr">
        <is>
          <t>No</t>
        </is>
      </c>
      <c r="U20" s="16" t="n">
        <v>0</v>
      </c>
      <c r="V20" s="18" t="n">
        <v>0</v>
      </c>
      <c r="W20" s="18" t="n">
        <v>0</v>
      </c>
      <c r="X20" s="18" t="n">
        <v>0</v>
      </c>
      <c r="Y20" s="15" t="inlineStr">
        <is>
          <t>Synthetic</t>
        </is>
      </c>
      <c r="Z20" s="9" t="n"/>
      <c r="AA20" s="9" t="inlineStr">
        <is>
          <t>per_occurrence</t>
        </is>
      </c>
      <c r="AB20" s="19">
        <f>IF(O20="","",O20*IF(OR(LOWER(H20)="pert",LOWER(H20)="binary/pert"),(P20+4*Q20+R20)/6,IF(LOWER(H20)="binary",Q20,IF(LOWER(H20)="lognormal",IF(Q20&lt;=0,0,IF(OR(R20&lt;=P20,R20&lt;=0,P20&lt;=0),ABS(Q20),Q20*EXP((MAX((LN(R20)-LN(P20))/(2*1.2816),0.01)^2)/2))),(P20+Q20+R20)/3))))</f>
        <v/>
      </c>
      <c r="AC20" s="20">
        <f>IF(OR(T20&lt;&gt;"Yes",U20=""),0,U20*(V20+4*W20+X20)/6*IFERROR(INDEX(Methodology!$B$2:$B$20,MATCH(Z20,Methodology!$A$2:$A$20,0)),0))</f>
        <v/>
      </c>
      <c r="AD20" s="19">
        <f>AC20*MC_day_rate</f>
        <v/>
      </c>
      <c r="AE20" s="9" t="n"/>
    </row>
    <row r="21">
      <c r="A21" s="9" t="inlineStr">
        <is>
          <t>WT-017</t>
        </is>
      </c>
      <c r="B21" s="9" t="inlineStr">
        <is>
          <t>Open</t>
        </is>
      </c>
      <c r="C21" s="15" t="inlineStr">
        <is>
          <t>Cable installation productivity</t>
        </is>
      </c>
      <c r="D21" s="9" t="inlineStr">
        <is>
          <t>EPC Contractor</t>
        </is>
      </c>
      <c r="E21" s="9" t="inlineStr">
        <is>
          <t>Electrical Reticulation</t>
        </is>
      </c>
      <c r="F21" s="9" t="inlineStr">
        <is>
          <t>Construction</t>
        </is>
      </c>
      <c r="G21" s="9" t="inlineStr">
        <is>
          <t>Yes</t>
        </is>
      </c>
      <c r="H21" s="9" t="inlineStr">
        <is>
          <t>PERT</t>
        </is>
      </c>
      <c r="I21" s="9" t="inlineStr">
        <is>
          <t>CG03</t>
        </is>
      </c>
      <c r="J21" s="9" t="n"/>
      <c r="K21" s="15" t="inlineStr">
        <is>
          <t>synthetic cause</t>
        </is>
      </c>
      <c r="L21" s="15" t="inlineStr">
        <is>
          <t>synthetic consequence</t>
        </is>
      </c>
      <c r="M21" s="15" t="inlineStr">
        <is>
          <t>synthetic controls</t>
        </is>
      </c>
      <c r="N21" s="9" t="inlineStr">
        <is>
          <t>Yes</t>
        </is>
      </c>
      <c r="O21" s="16" t="n">
        <v>0.4</v>
      </c>
      <c r="P21" s="17" t="n">
        <v>70000</v>
      </c>
      <c r="Q21" s="17" t="n">
        <v>220000</v>
      </c>
      <c r="R21" s="17" t="n">
        <v>520000</v>
      </c>
      <c r="S21" s="15" t="inlineStr">
        <is>
          <t>Wind Farm Beta capex basis</t>
        </is>
      </c>
      <c r="T21" s="9" t="inlineStr">
        <is>
          <t>No</t>
        </is>
      </c>
      <c r="U21" s="16" t="n">
        <v>0</v>
      </c>
      <c r="V21" s="18" t="n">
        <v>0</v>
      </c>
      <c r="W21" s="18" t="n">
        <v>0</v>
      </c>
      <c r="X21" s="18" t="n">
        <v>0</v>
      </c>
      <c r="Y21" s="15" t="inlineStr">
        <is>
          <t>Synthetic</t>
        </is>
      </c>
      <c r="Z21" s="9" t="n"/>
      <c r="AA21" s="9" t="inlineStr">
        <is>
          <t>per_occurrence</t>
        </is>
      </c>
      <c r="AB21" s="19">
        <f>IF(O21="","",O21*IF(OR(LOWER(H21)="pert",LOWER(H21)="binary/pert"),(P21+4*Q21+R21)/6,IF(LOWER(H21)="binary",Q21,IF(LOWER(H21)="lognormal",IF(Q21&lt;=0,0,IF(OR(R21&lt;=P21,R21&lt;=0,P21&lt;=0),ABS(Q21),Q21*EXP((MAX((LN(R21)-LN(P21))/(2*1.2816),0.01)^2)/2))),(P21+Q21+R21)/3))))</f>
        <v/>
      </c>
      <c r="AC21" s="20">
        <f>IF(OR(T21&lt;&gt;"Yes",U21=""),0,U21*(V21+4*W21+X21)/6*IFERROR(INDEX(Methodology!$B$2:$B$20,MATCH(Z21,Methodology!$A$2:$A$20,0)),0))</f>
        <v/>
      </c>
      <c r="AD21" s="19">
        <f>AC21*MC_day_rate</f>
        <v/>
      </c>
      <c r="AE21" s="9" t="n"/>
    </row>
    <row r="22">
      <c r="A22" s="9" t="inlineStr">
        <is>
          <t>WT-018</t>
        </is>
      </c>
      <c r="B22" s="9" t="inlineStr">
        <is>
          <t>Open</t>
        </is>
      </c>
      <c r="C22" s="15" t="inlineStr">
        <is>
          <t>Cable joint re-termination</t>
        </is>
      </c>
      <c r="D22" s="9" t="inlineStr">
        <is>
          <t>EPC Contractor</t>
        </is>
      </c>
      <c r="E22" s="9" t="inlineStr">
        <is>
          <t>Electrical Reticulation</t>
        </is>
      </c>
      <c r="F22" s="9" t="inlineStr">
        <is>
          <t>Electrical</t>
        </is>
      </c>
      <c r="G22" s="9" t="inlineStr">
        <is>
          <t>Yes</t>
        </is>
      </c>
      <c r="H22" s="9" t="inlineStr">
        <is>
          <t>Triangular</t>
        </is>
      </c>
      <c r="I22" s="9" t="inlineStr">
        <is>
          <t>CG03</t>
        </is>
      </c>
      <c r="J22" s="9" t="n"/>
      <c r="K22" s="15" t="inlineStr">
        <is>
          <t>synthetic cause</t>
        </is>
      </c>
      <c r="L22" s="15" t="inlineStr">
        <is>
          <t>synthetic consequence</t>
        </is>
      </c>
      <c r="M22" s="15" t="inlineStr">
        <is>
          <t>synthetic controls</t>
        </is>
      </c>
      <c r="N22" s="9" t="inlineStr">
        <is>
          <t>Yes</t>
        </is>
      </c>
      <c r="O22" s="16" t="n">
        <v>0.3</v>
      </c>
      <c r="P22" s="17" t="n">
        <v>50000</v>
      </c>
      <c r="Q22" s="17" t="n">
        <v>150000</v>
      </c>
      <c r="R22" s="17" t="n">
        <v>400000</v>
      </c>
      <c r="S22" s="15" t="inlineStr">
        <is>
          <t>Wind Farm Beta capex basis</t>
        </is>
      </c>
      <c r="T22" s="9" t="inlineStr">
        <is>
          <t>No</t>
        </is>
      </c>
      <c r="U22" s="16" t="n">
        <v>0</v>
      </c>
      <c r="V22" s="18" t="n">
        <v>0</v>
      </c>
      <c r="W22" s="18" t="n">
        <v>0</v>
      </c>
      <c r="X22" s="18" t="n">
        <v>0</v>
      </c>
      <c r="Y22" s="15" t="inlineStr">
        <is>
          <t>Synthetic</t>
        </is>
      </c>
      <c r="Z22" s="9" t="n"/>
      <c r="AA22" s="9" t="inlineStr">
        <is>
          <t>per_occurrence</t>
        </is>
      </c>
      <c r="AB22" s="19">
        <f>IF(O22="","",O22*IF(OR(LOWER(H22)="pert",LOWER(H22)="binary/pert"),(P22+4*Q22+R22)/6,IF(LOWER(H22)="binary",Q22,IF(LOWER(H22)="lognormal",IF(Q22&lt;=0,0,IF(OR(R22&lt;=P22,R22&lt;=0,P22&lt;=0),ABS(Q22),Q22*EXP((MAX((LN(R22)-LN(P22))/(2*1.2816),0.01)^2)/2))),(P22+Q22+R22)/3))))</f>
        <v/>
      </c>
      <c r="AC22" s="20">
        <f>IF(OR(T22&lt;&gt;"Yes",U22=""),0,U22*(V22+4*W22+X22)/6*IFERROR(INDEX(Methodology!$B$2:$B$20,MATCH(Z22,Methodology!$A$2:$A$20,0)),0))</f>
        <v/>
      </c>
      <c r="AD22" s="19">
        <f>AC22*MC_day_rate</f>
        <v/>
      </c>
      <c r="AE22" s="9" t="n"/>
    </row>
    <row r="23">
      <c r="A23" s="9" t="inlineStr">
        <is>
          <t>WT-019</t>
        </is>
      </c>
      <c r="B23" s="9" t="inlineStr">
        <is>
          <t>Open</t>
        </is>
      </c>
      <c r="C23" s="15" t="inlineStr">
        <is>
          <t>Trenching clash with civil works</t>
        </is>
      </c>
      <c r="D23" s="9" t="inlineStr">
        <is>
          <t>Shared</t>
        </is>
      </c>
      <c r="E23" s="9" t="inlineStr">
        <is>
          <t>Electrical Reticulation</t>
        </is>
      </c>
      <c r="F23" s="9" t="inlineStr">
        <is>
          <t>Interface</t>
        </is>
      </c>
      <c r="G23" s="9" t="inlineStr">
        <is>
          <t>Yes</t>
        </is>
      </c>
      <c r="H23" s="9" t="inlineStr">
        <is>
          <t>PERT</t>
        </is>
      </c>
      <c r="I23" s="9" t="inlineStr">
        <is>
          <t>CG03</t>
        </is>
      </c>
      <c r="J23" s="9" t="n"/>
      <c r="K23" s="15" t="inlineStr">
        <is>
          <t>synthetic cause</t>
        </is>
      </c>
      <c r="L23" s="15" t="inlineStr">
        <is>
          <t>synthetic consequence</t>
        </is>
      </c>
      <c r="M23" s="15" t="inlineStr">
        <is>
          <t>synthetic controls</t>
        </is>
      </c>
      <c r="N23" s="9" t="inlineStr">
        <is>
          <t>Yes</t>
        </is>
      </c>
      <c r="O23" s="16" t="n">
        <v>0.25</v>
      </c>
      <c r="P23" s="17" t="n">
        <v>40000</v>
      </c>
      <c r="Q23" s="17" t="n">
        <v>120000</v>
      </c>
      <c r="R23" s="17" t="n">
        <v>300000</v>
      </c>
      <c r="S23" s="15" t="inlineStr">
        <is>
          <t>Wind Farm Beta capex basis</t>
        </is>
      </c>
      <c r="T23" s="9" t="inlineStr">
        <is>
          <t>No</t>
        </is>
      </c>
      <c r="U23" s="16" t="n">
        <v>0</v>
      </c>
      <c r="V23" s="18" t="n">
        <v>0</v>
      </c>
      <c r="W23" s="18" t="n">
        <v>0</v>
      </c>
      <c r="X23" s="18" t="n">
        <v>0</v>
      </c>
      <c r="Y23" s="15" t="inlineStr">
        <is>
          <t>Synthetic</t>
        </is>
      </c>
      <c r="Z23" s="9" t="n"/>
      <c r="AA23" s="9" t="inlineStr">
        <is>
          <t>per_occurrence</t>
        </is>
      </c>
      <c r="AB23" s="19">
        <f>IF(O23="","",O23*IF(OR(LOWER(H23)="pert",LOWER(H23)="binary/pert"),(P23+4*Q23+R23)/6,IF(LOWER(H23)="binary",Q23,IF(LOWER(H23)="lognormal",IF(Q23&lt;=0,0,IF(OR(R23&lt;=P23,R23&lt;=0,P23&lt;=0),ABS(Q23),Q23*EXP((MAX((LN(R23)-LN(P23))/(2*1.2816),0.01)^2)/2))),(P23+Q23+R23)/3))))</f>
        <v/>
      </c>
      <c r="AC23" s="20">
        <f>IF(OR(T23&lt;&gt;"Yes",U23=""),0,U23*(V23+4*W23+X23)/6*IFERROR(INDEX(Methodology!$B$2:$B$20,MATCH(Z23,Methodology!$A$2:$A$20,0)),0))</f>
        <v/>
      </c>
      <c r="AD23" s="19">
        <f>AC23*MC_day_rate</f>
        <v/>
      </c>
      <c r="AE23" s="9" t="n"/>
    </row>
    <row r="24">
      <c r="A24" s="9" t="inlineStr">
        <is>
          <t>WT-020</t>
        </is>
      </c>
      <c r="B24" s="9" t="inlineStr">
        <is>
          <t>Open</t>
        </is>
      </c>
      <c r="C24" s="15" t="inlineStr">
        <is>
          <t>HV array cable test failures</t>
        </is>
      </c>
      <c r="D24" s="9" t="inlineStr">
        <is>
          <t>EPC Contractor</t>
        </is>
      </c>
      <c r="E24" s="9" t="inlineStr">
        <is>
          <t>Electrical Reticulation</t>
        </is>
      </c>
      <c r="F24" s="9" t="inlineStr">
        <is>
          <t>Testing</t>
        </is>
      </c>
      <c r="G24" s="9" t="inlineStr">
        <is>
          <t>Yes</t>
        </is>
      </c>
      <c r="H24" s="9" t="inlineStr">
        <is>
          <t>Triangular</t>
        </is>
      </c>
      <c r="I24" s="9" t="inlineStr">
        <is>
          <t>CG03</t>
        </is>
      </c>
      <c r="J24" s="9" t="n"/>
      <c r="K24" s="15" t="inlineStr">
        <is>
          <t>synthetic cause</t>
        </is>
      </c>
      <c r="L24" s="15" t="inlineStr">
        <is>
          <t>synthetic consequence</t>
        </is>
      </c>
      <c r="M24" s="15" t="inlineStr">
        <is>
          <t>synthetic controls</t>
        </is>
      </c>
      <c r="N24" s="9" t="inlineStr">
        <is>
          <t>Yes</t>
        </is>
      </c>
      <c r="O24" s="16" t="n">
        <v>0.35</v>
      </c>
      <c r="P24" s="17" t="n">
        <v>60000</v>
      </c>
      <c r="Q24" s="17" t="n">
        <v>170000</v>
      </c>
      <c r="R24" s="17" t="n">
        <v>420000</v>
      </c>
      <c r="S24" s="15" t="inlineStr">
        <is>
          <t>Wind Farm Beta capex basis</t>
        </is>
      </c>
      <c r="T24" s="9" t="inlineStr">
        <is>
          <t>Yes</t>
        </is>
      </c>
      <c r="U24" s="16" t="n">
        <v>0.35</v>
      </c>
      <c r="V24" s="18" t="n">
        <v>1</v>
      </c>
      <c r="W24" s="18" t="n">
        <v>4</v>
      </c>
      <c r="X24" s="18" t="n">
        <v>10</v>
      </c>
      <c r="Y24" s="15" t="inlineStr">
        <is>
          <t>Synthetic</t>
        </is>
      </c>
      <c r="Z24" s="9" t="inlineStr">
        <is>
          <t>Parallel</t>
        </is>
      </c>
      <c r="AA24" s="9" t="inlineStr">
        <is>
          <t>per_occurrence</t>
        </is>
      </c>
      <c r="AB24" s="19">
        <f>IF(O24="","",O24*IF(OR(LOWER(H24)="pert",LOWER(H24)="binary/pert"),(P24+4*Q24+R24)/6,IF(LOWER(H24)="binary",Q24,IF(LOWER(H24)="lognormal",IF(Q24&lt;=0,0,IF(OR(R24&lt;=P24,R24&lt;=0,P24&lt;=0),ABS(Q24),Q24*EXP((MAX((LN(R24)-LN(P24))/(2*1.2816),0.01)^2)/2))),(P24+Q24+R24)/3))))</f>
        <v/>
      </c>
      <c r="AC24" s="20">
        <f>IF(OR(T24&lt;&gt;"Yes",U24=""),0,U24*(V24+4*W24+X24)/6*IFERROR(INDEX(Methodology!$B$2:$B$20,MATCH(Z24,Methodology!$A$2:$A$20,0)),0))</f>
        <v/>
      </c>
      <c r="AD24" s="19">
        <f>AC24*MC_day_rate</f>
        <v/>
      </c>
      <c r="AE24" s="9" t="n"/>
    </row>
    <row r="25">
      <c r="A25" s="9" t="inlineStr">
        <is>
          <t>WT-021</t>
        </is>
      </c>
      <c r="B25" s="9" t="inlineStr">
        <is>
          <t>Open</t>
        </is>
      </c>
      <c r="C25" s="15" t="inlineStr">
        <is>
          <t>Grid connection redesign</t>
        </is>
      </c>
      <c r="D25" s="9" t="inlineStr">
        <is>
          <t>Wind Farm Owner</t>
        </is>
      </c>
      <c r="E25" s="9" t="inlineStr">
        <is>
          <t>Grid Connection</t>
        </is>
      </c>
      <c r="F25" s="9" t="inlineStr">
        <is>
          <t>Design</t>
        </is>
      </c>
      <c r="G25" s="9" t="inlineStr">
        <is>
          <t>Yes</t>
        </is>
      </c>
      <c r="H25" s="9" t="inlineStr">
        <is>
          <t>Lognormal</t>
        </is>
      </c>
      <c r="I25" s="9" t="inlineStr">
        <is>
          <t>CG04</t>
        </is>
      </c>
      <c r="J25" s="9" t="n"/>
      <c r="K25" s="15" t="inlineStr">
        <is>
          <t>synthetic cause</t>
        </is>
      </c>
      <c r="L25" s="15" t="inlineStr">
        <is>
          <t>synthetic consequence</t>
        </is>
      </c>
      <c r="M25" s="15" t="inlineStr">
        <is>
          <t>synthetic controls</t>
        </is>
      </c>
      <c r="N25" s="9" t="inlineStr">
        <is>
          <t>Yes</t>
        </is>
      </c>
      <c r="O25" s="16" t="n">
        <v>0.3</v>
      </c>
      <c r="P25" s="17" t="n">
        <v>200000</v>
      </c>
      <c r="Q25" s="17" t="n">
        <v>500000</v>
      </c>
      <c r="R25" s="17" t="n">
        <v>1200000</v>
      </c>
      <c r="S25" s="15" t="inlineStr">
        <is>
          <t>Wind Farm Beta capex basis</t>
        </is>
      </c>
      <c r="T25" s="9" t="inlineStr">
        <is>
          <t>Yes</t>
        </is>
      </c>
      <c r="U25" s="16" t="n">
        <v>0.3</v>
      </c>
      <c r="V25" s="18" t="n">
        <v>6</v>
      </c>
      <c r="W25" s="18" t="n">
        <v>15</v>
      </c>
      <c r="X25" s="18" t="n">
        <v>35</v>
      </c>
      <c r="Y25" s="15" t="inlineStr">
        <is>
          <t>Synthetic</t>
        </is>
      </c>
      <c r="Z25" s="9" t="inlineStr">
        <is>
          <t>Series</t>
        </is>
      </c>
      <c r="AA25" s="9" t="inlineStr">
        <is>
          <t>per_occurrence</t>
        </is>
      </c>
      <c r="AB25" s="19">
        <f>IF(O25="","",O25*IF(OR(LOWER(H25)="pert",LOWER(H25)="binary/pert"),(P25+4*Q25+R25)/6,IF(LOWER(H25)="binary",Q25,IF(LOWER(H25)="lognormal",IF(Q25&lt;=0,0,IF(OR(R25&lt;=P25,R25&lt;=0,P25&lt;=0),ABS(Q25),Q25*EXP((MAX((LN(R25)-LN(P25))/(2*1.2816),0.01)^2)/2))),(P25+Q25+R25)/3))))</f>
        <v/>
      </c>
      <c r="AC25" s="20">
        <f>IF(OR(T25&lt;&gt;"Yes",U25=""),0,U25*(V25+4*W25+X25)/6*IFERROR(INDEX(Methodology!$B$2:$B$20,MATCH(Z25,Methodology!$A$2:$A$20,0)),0))</f>
        <v/>
      </c>
      <c r="AD25" s="19">
        <f>AC25*MC_day_rate</f>
        <v/>
      </c>
      <c r="AE25" s="9" t="n"/>
    </row>
    <row r="26">
      <c r="A26" s="9" t="inlineStr">
        <is>
          <t>WT-022</t>
        </is>
      </c>
      <c r="B26" s="9" t="inlineStr">
        <is>
          <t>Open</t>
        </is>
      </c>
      <c r="C26" s="15" t="inlineStr">
        <is>
          <t>Network operator approval delay</t>
        </is>
      </c>
      <c r="D26" s="9" t="inlineStr">
        <is>
          <t>Wind Farm Owner</t>
        </is>
      </c>
      <c r="E26" s="9" t="inlineStr">
        <is>
          <t>Grid Connection</t>
        </is>
      </c>
      <c r="F26" s="9" t="inlineStr">
        <is>
          <t>Approvals</t>
        </is>
      </c>
      <c r="G26" s="9" t="inlineStr">
        <is>
          <t>Yes</t>
        </is>
      </c>
      <c r="H26" s="9" t="inlineStr">
        <is>
          <t>PERT</t>
        </is>
      </c>
      <c r="I26" s="9" t="inlineStr">
        <is>
          <t>CG04</t>
        </is>
      </c>
      <c r="J26" s="9" t="n"/>
      <c r="K26" s="15" t="inlineStr">
        <is>
          <t>synthetic cause</t>
        </is>
      </c>
      <c r="L26" s="15" t="inlineStr">
        <is>
          <t>synthetic consequence</t>
        </is>
      </c>
      <c r="M26" s="15" t="inlineStr">
        <is>
          <t>synthetic controls</t>
        </is>
      </c>
      <c r="N26" s="9" t="inlineStr">
        <is>
          <t>Yes</t>
        </is>
      </c>
      <c r="O26" s="16" t="n">
        <v>0.4</v>
      </c>
      <c r="P26" s="17" t="n">
        <v>100000</v>
      </c>
      <c r="Q26" s="17" t="n">
        <v>280000</v>
      </c>
      <c r="R26" s="17" t="n">
        <v>700000</v>
      </c>
      <c r="S26" s="15" t="inlineStr">
        <is>
          <t>Wind Farm Beta capex basis</t>
        </is>
      </c>
      <c r="T26" s="9" t="inlineStr">
        <is>
          <t>No</t>
        </is>
      </c>
      <c r="U26" s="16" t="n">
        <v>0</v>
      </c>
      <c r="V26" s="18" t="n">
        <v>0</v>
      </c>
      <c r="W26" s="18" t="n">
        <v>0</v>
      </c>
      <c r="X26" s="18" t="n">
        <v>0</v>
      </c>
      <c r="Y26" s="15" t="inlineStr">
        <is>
          <t>Synthetic</t>
        </is>
      </c>
      <c r="Z26" s="9" t="n"/>
      <c r="AA26" s="9" t="inlineStr">
        <is>
          <t>per_occurrence</t>
        </is>
      </c>
      <c r="AB26" s="19">
        <f>IF(O26="","",O26*IF(OR(LOWER(H26)="pert",LOWER(H26)="binary/pert"),(P26+4*Q26+R26)/6,IF(LOWER(H26)="binary",Q26,IF(LOWER(H26)="lognormal",IF(Q26&lt;=0,0,IF(OR(R26&lt;=P26,R26&lt;=0,P26&lt;=0),ABS(Q26),Q26*EXP((MAX((LN(R26)-LN(P26))/(2*1.2816),0.01)^2)/2))),(P26+Q26+R26)/3))))</f>
        <v/>
      </c>
      <c r="AC26" s="20">
        <f>IF(OR(T26&lt;&gt;"Yes",U26=""),0,U26*(V26+4*W26+X26)/6*IFERROR(INDEX(Methodology!$B$2:$B$20,MATCH(Z26,Methodology!$A$2:$A$20,0)),0))</f>
        <v/>
      </c>
      <c r="AD26" s="19">
        <f>AC26*MC_day_rate</f>
        <v/>
      </c>
      <c r="AE26" s="9" t="n"/>
    </row>
    <row r="27">
      <c r="A27" s="9" t="inlineStr">
        <is>
          <t>WT-023</t>
        </is>
      </c>
      <c r="B27" s="9" t="inlineStr">
        <is>
          <t>Open</t>
        </is>
      </c>
      <c r="C27" s="15" t="inlineStr">
        <is>
          <t>Protection settings rework</t>
        </is>
      </c>
      <c r="D27" s="9" t="inlineStr">
        <is>
          <t>Shared</t>
        </is>
      </c>
      <c r="E27" s="9" t="inlineStr">
        <is>
          <t>Grid Connection</t>
        </is>
      </c>
      <c r="F27" s="9" t="inlineStr">
        <is>
          <t>Electrical</t>
        </is>
      </c>
      <c r="G27" s="9" t="inlineStr">
        <is>
          <t>Yes</t>
        </is>
      </c>
      <c r="H27" s="9" t="inlineStr">
        <is>
          <t>Triangular</t>
        </is>
      </c>
      <c r="I27" s="9" t="inlineStr">
        <is>
          <t>CG04</t>
        </is>
      </c>
      <c r="J27" s="9" t="n"/>
      <c r="K27" s="15" t="inlineStr">
        <is>
          <t>synthetic cause</t>
        </is>
      </c>
      <c r="L27" s="15" t="inlineStr">
        <is>
          <t>synthetic consequence</t>
        </is>
      </c>
      <c r="M27" s="15" t="inlineStr">
        <is>
          <t>synthetic controls</t>
        </is>
      </c>
      <c r="N27" s="9" t="inlineStr">
        <is>
          <t>Yes</t>
        </is>
      </c>
      <c r="O27" s="16" t="n">
        <v>0.3</v>
      </c>
      <c r="P27" s="17" t="n">
        <v>60000</v>
      </c>
      <c r="Q27" s="17" t="n">
        <v>160000</v>
      </c>
      <c r="R27" s="17" t="n">
        <v>380000</v>
      </c>
      <c r="S27" s="15" t="inlineStr">
        <is>
          <t>Wind Farm Beta capex basis</t>
        </is>
      </c>
      <c r="T27" s="9" t="inlineStr">
        <is>
          <t>No</t>
        </is>
      </c>
      <c r="U27" s="16" t="n">
        <v>0</v>
      </c>
      <c r="V27" s="18" t="n">
        <v>0</v>
      </c>
      <c r="W27" s="18" t="n">
        <v>0</v>
      </c>
      <c r="X27" s="18" t="n">
        <v>0</v>
      </c>
      <c r="Y27" s="15" t="inlineStr">
        <is>
          <t>Synthetic</t>
        </is>
      </c>
      <c r="Z27" s="9" t="n"/>
      <c r="AA27" s="9" t="inlineStr">
        <is>
          <t>per_occurrence</t>
        </is>
      </c>
      <c r="AB27" s="19">
        <f>IF(O27="","",O27*IF(OR(LOWER(H27)="pert",LOWER(H27)="binary/pert"),(P27+4*Q27+R27)/6,IF(LOWER(H27)="binary",Q27,IF(LOWER(H27)="lognormal",IF(Q27&lt;=0,0,IF(OR(R27&lt;=P27,R27&lt;=0,P27&lt;=0),ABS(Q27),Q27*EXP((MAX((LN(R27)-LN(P27))/(2*1.2816),0.01)^2)/2))),(P27+Q27+R27)/3))))</f>
        <v/>
      </c>
      <c r="AC27" s="20">
        <f>IF(OR(T27&lt;&gt;"Yes",U27=""),0,U27*(V27+4*W27+X27)/6*IFERROR(INDEX(Methodology!$B$2:$B$20,MATCH(Z27,Methodology!$A$2:$A$20,0)),0))</f>
        <v/>
      </c>
      <c r="AD27" s="19">
        <f>AC27*MC_day_rate</f>
        <v/>
      </c>
      <c r="AE27" s="9" t="n"/>
    </row>
    <row r="28">
      <c r="A28" s="9" t="inlineStr">
        <is>
          <t>WT-024</t>
        </is>
      </c>
      <c r="B28" s="9" t="inlineStr">
        <is>
          <t>Open</t>
        </is>
      </c>
      <c r="C28" s="15" t="inlineStr">
        <is>
          <t>Grid compliance test failure</t>
        </is>
      </c>
      <c r="D28" s="9" t="inlineStr">
        <is>
          <t>Wind Farm Owner</t>
        </is>
      </c>
      <c r="E28" s="9" t="inlineStr">
        <is>
          <t>Grid Connection</t>
        </is>
      </c>
      <c r="F28" s="9" t="inlineStr">
        <is>
          <t>Testing</t>
        </is>
      </c>
      <c r="G28" s="9" t="inlineStr">
        <is>
          <t>Yes</t>
        </is>
      </c>
      <c r="H28" s="9" t="inlineStr">
        <is>
          <t>PERT</t>
        </is>
      </c>
      <c r="I28" s="9" t="inlineStr">
        <is>
          <t>CG04</t>
        </is>
      </c>
      <c r="J28" s="9" t="n"/>
      <c r="K28" s="15" t="inlineStr">
        <is>
          <t>synthetic cause</t>
        </is>
      </c>
      <c r="L28" s="15" t="inlineStr">
        <is>
          <t>synthetic consequence</t>
        </is>
      </c>
      <c r="M28" s="15" t="inlineStr">
        <is>
          <t>synthetic controls</t>
        </is>
      </c>
      <c r="N28" s="9" t="inlineStr">
        <is>
          <t>Yes</t>
        </is>
      </c>
      <c r="O28" s="16" t="n">
        <v>0.25</v>
      </c>
      <c r="P28" s="17" t="n">
        <v>120000</v>
      </c>
      <c r="Q28" s="17" t="n">
        <v>320000</v>
      </c>
      <c r="R28" s="17" t="n">
        <v>800000</v>
      </c>
      <c r="S28" s="15" t="inlineStr">
        <is>
          <t>Wind Farm Beta capex basis</t>
        </is>
      </c>
      <c r="T28" s="9" t="inlineStr">
        <is>
          <t>No</t>
        </is>
      </c>
      <c r="U28" s="16" t="n">
        <v>0</v>
      </c>
      <c r="V28" s="18" t="n">
        <v>0</v>
      </c>
      <c r="W28" s="18" t="n">
        <v>0</v>
      </c>
      <c r="X28" s="18" t="n">
        <v>0</v>
      </c>
      <c r="Y28" s="15" t="inlineStr">
        <is>
          <t>Synthetic</t>
        </is>
      </c>
      <c r="Z28" s="9" t="n"/>
      <c r="AA28" s="9" t="inlineStr">
        <is>
          <t>per_occurrence</t>
        </is>
      </c>
      <c r="AB28" s="19">
        <f>IF(O28="","",O28*IF(OR(LOWER(H28)="pert",LOWER(H28)="binary/pert"),(P28+4*Q28+R28)/6,IF(LOWER(H28)="binary",Q28,IF(LOWER(H28)="lognormal",IF(Q28&lt;=0,0,IF(OR(R28&lt;=P28,R28&lt;=0,P28&lt;=0),ABS(Q28),Q28*EXP((MAX((LN(R28)-LN(P28))/(2*1.2816),0.01)^2)/2))),(P28+Q28+R28)/3))))</f>
        <v/>
      </c>
      <c r="AC28" s="20">
        <f>IF(OR(T28&lt;&gt;"Yes",U28=""),0,U28*(V28+4*W28+X28)/6*IFERROR(INDEX(Methodology!$B$2:$B$20,MATCH(Z28,Methodology!$A$2:$A$20,0)),0))</f>
        <v/>
      </c>
      <c r="AD28" s="19">
        <f>AC28*MC_day_rate</f>
        <v/>
      </c>
      <c r="AE28" s="9" t="n"/>
    </row>
    <row r="29">
      <c r="A29" s="9" t="inlineStr">
        <is>
          <t>WT-025</t>
        </is>
      </c>
      <c r="B29" s="9" t="inlineStr">
        <is>
          <t>Open</t>
        </is>
      </c>
      <c r="C29" s="15" t="inlineStr">
        <is>
          <t>Connection-point scope change</t>
        </is>
      </c>
      <c r="D29" s="9" t="inlineStr">
        <is>
          <t>Wind Farm Owner</t>
        </is>
      </c>
      <c r="E29" s="9" t="inlineStr">
        <is>
          <t>Grid Connection</t>
        </is>
      </c>
      <c r="F29" s="9" t="inlineStr">
        <is>
          <t>Scope</t>
        </is>
      </c>
      <c r="G29" s="9" t="inlineStr">
        <is>
          <t>Yes</t>
        </is>
      </c>
      <c r="H29" s="9" t="inlineStr">
        <is>
          <t>Triangular</t>
        </is>
      </c>
      <c r="I29" s="9" t="inlineStr">
        <is>
          <t>CG04</t>
        </is>
      </c>
      <c r="J29" s="9" t="n"/>
      <c r="K29" s="15" t="inlineStr">
        <is>
          <t>synthetic cause</t>
        </is>
      </c>
      <c r="L29" s="15" t="inlineStr">
        <is>
          <t>synthetic consequence</t>
        </is>
      </c>
      <c r="M29" s="15" t="inlineStr">
        <is>
          <t>synthetic controls</t>
        </is>
      </c>
      <c r="N29" s="9" t="inlineStr">
        <is>
          <t>Yes</t>
        </is>
      </c>
      <c r="O29" s="16" t="n">
        <v>0.2</v>
      </c>
      <c r="P29" s="17" t="n">
        <v>80000</v>
      </c>
      <c r="Q29" s="17" t="n">
        <v>200000</v>
      </c>
      <c r="R29" s="17" t="n">
        <v>500000</v>
      </c>
      <c r="S29" s="15" t="inlineStr">
        <is>
          <t>Wind Farm Beta capex basis</t>
        </is>
      </c>
      <c r="T29" s="9" t="inlineStr">
        <is>
          <t>No</t>
        </is>
      </c>
      <c r="U29" s="16" t="n">
        <v>0</v>
      </c>
      <c r="V29" s="18" t="n">
        <v>0</v>
      </c>
      <c r="W29" s="18" t="n">
        <v>0</v>
      </c>
      <c r="X29" s="18" t="n">
        <v>0</v>
      </c>
      <c r="Y29" s="15" t="inlineStr">
        <is>
          <t>Synthetic</t>
        </is>
      </c>
      <c r="Z29" s="9" t="n"/>
      <c r="AA29" s="9" t="inlineStr">
        <is>
          <t>per_occurrence</t>
        </is>
      </c>
      <c r="AB29" s="19">
        <f>IF(O29="","",O29*IF(OR(LOWER(H29)="pert",LOWER(H29)="binary/pert"),(P29+4*Q29+R29)/6,IF(LOWER(H29)="binary",Q29,IF(LOWER(H29)="lognormal",IF(Q29&lt;=0,0,IF(OR(R29&lt;=P29,R29&lt;=0,P29&lt;=0),ABS(Q29),Q29*EXP((MAX((LN(R29)-LN(P29))/(2*1.2816),0.01)^2)/2))),(P29+Q29+R29)/3))))</f>
        <v/>
      </c>
      <c r="AC29" s="20">
        <f>IF(OR(T29&lt;&gt;"Yes",U29=""),0,U29*(V29+4*W29+X29)/6*IFERROR(INDEX(Methodology!$B$2:$B$20,MATCH(Z29,Methodology!$A$2:$A$20,0)),0))</f>
        <v/>
      </c>
      <c r="AD29" s="19">
        <f>AC29*MC_day_rate</f>
        <v/>
      </c>
      <c r="AE29" s="9" t="n"/>
    </row>
    <row r="30">
      <c r="A30" s="9" t="inlineStr">
        <is>
          <t>WT-026</t>
        </is>
      </c>
      <c r="B30" s="9" t="inlineStr">
        <is>
          <t>Open</t>
        </is>
      </c>
      <c r="C30" s="15" t="inlineStr">
        <is>
          <t>Substation civils delay</t>
        </is>
      </c>
      <c r="D30" s="9" t="inlineStr">
        <is>
          <t>EPC Contractor</t>
        </is>
      </c>
      <c r="E30" s="9" t="inlineStr">
        <is>
          <t>Balance of Plant</t>
        </is>
      </c>
      <c r="F30" s="9" t="inlineStr">
        <is>
          <t>Civil</t>
        </is>
      </c>
      <c r="G30" s="9" t="inlineStr">
        <is>
          <t>Yes</t>
        </is>
      </c>
      <c r="H30" s="9" t="inlineStr">
        <is>
          <t>PERT</t>
        </is>
      </c>
      <c r="I30" s="9" t="inlineStr">
        <is>
          <t>CG05</t>
        </is>
      </c>
      <c r="J30" s="9" t="n"/>
      <c r="K30" s="15" t="inlineStr">
        <is>
          <t>synthetic cause</t>
        </is>
      </c>
      <c r="L30" s="15" t="inlineStr">
        <is>
          <t>synthetic consequence</t>
        </is>
      </c>
      <c r="M30" s="15" t="inlineStr">
        <is>
          <t>synthetic controls</t>
        </is>
      </c>
      <c r="N30" s="9" t="inlineStr">
        <is>
          <t>Yes</t>
        </is>
      </c>
      <c r="O30" s="16" t="n">
        <v>0.35</v>
      </c>
      <c r="P30" s="17" t="n">
        <v>80000</v>
      </c>
      <c r="Q30" s="17" t="n">
        <v>220000</v>
      </c>
      <c r="R30" s="17" t="n">
        <v>550000</v>
      </c>
      <c r="S30" s="15" t="inlineStr">
        <is>
          <t>Wind Farm Beta capex basis</t>
        </is>
      </c>
      <c r="T30" s="9" t="inlineStr">
        <is>
          <t>Yes</t>
        </is>
      </c>
      <c r="U30" s="16" t="n">
        <v>0.35</v>
      </c>
      <c r="V30" s="18" t="n">
        <v>2</v>
      </c>
      <c r="W30" s="18" t="n">
        <v>6</v>
      </c>
      <c r="X30" s="18" t="n">
        <v>14</v>
      </c>
      <c r="Y30" s="15" t="inlineStr">
        <is>
          <t>Synthetic</t>
        </is>
      </c>
      <c r="Z30" s="9" t="inlineStr">
        <is>
          <t>Hybrid</t>
        </is>
      </c>
      <c r="AA30" s="9" t="inlineStr">
        <is>
          <t>per_occurrence</t>
        </is>
      </c>
      <c r="AB30" s="19">
        <f>IF(O30="","",O30*IF(OR(LOWER(H30)="pert",LOWER(H30)="binary/pert"),(P30+4*Q30+R30)/6,IF(LOWER(H30)="binary",Q30,IF(LOWER(H30)="lognormal",IF(Q30&lt;=0,0,IF(OR(R30&lt;=P30,R30&lt;=0,P30&lt;=0),ABS(Q30),Q30*EXP((MAX((LN(R30)-LN(P30))/(2*1.2816),0.01)^2)/2))),(P30+Q30+R30)/3))))</f>
        <v/>
      </c>
      <c r="AC30" s="20">
        <f>IF(OR(T30&lt;&gt;"Yes",U30=""),0,U30*(V30+4*W30+X30)/6*IFERROR(INDEX(Methodology!$B$2:$B$20,MATCH(Z30,Methodology!$A$2:$A$20,0)),0))</f>
        <v/>
      </c>
      <c r="AD30" s="19">
        <f>AC30*MC_day_rate</f>
        <v/>
      </c>
      <c r="AE30" s="9" t="n"/>
    </row>
    <row r="31">
      <c r="A31" s="9" t="inlineStr">
        <is>
          <t>WT-027</t>
        </is>
      </c>
      <c r="B31" s="9" t="inlineStr">
        <is>
          <t>Open</t>
        </is>
      </c>
      <c r="C31" s="15" t="inlineStr">
        <is>
          <t>Substation E&amp;I commissioning slip</t>
        </is>
      </c>
      <c r="D31" s="9" t="inlineStr">
        <is>
          <t>Shared</t>
        </is>
      </c>
      <c r="E31" s="9" t="inlineStr">
        <is>
          <t>Balance of Plant</t>
        </is>
      </c>
      <c r="F31" s="9" t="inlineStr">
        <is>
          <t>Commissioning</t>
        </is>
      </c>
      <c r="G31" s="9" t="inlineStr">
        <is>
          <t>Yes</t>
        </is>
      </c>
      <c r="H31" s="9" t="inlineStr">
        <is>
          <t>Triangular</t>
        </is>
      </c>
      <c r="I31" s="9" t="inlineStr">
        <is>
          <t>CG05</t>
        </is>
      </c>
      <c r="J31" s="9" t="n"/>
      <c r="K31" s="15" t="inlineStr">
        <is>
          <t>synthetic cause</t>
        </is>
      </c>
      <c r="L31" s="15" t="inlineStr">
        <is>
          <t>synthetic consequence</t>
        </is>
      </c>
      <c r="M31" s="15" t="inlineStr">
        <is>
          <t>synthetic controls</t>
        </is>
      </c>
      <c r="N31" s="9" t="inlineStr">
        <is>
          <t>Yes</t>
        </is>
      </c>
      <c r="O31" s="16" t="n">
        <v>0.35</v>
      </c>
      <c r="P31" s="17" t="n">
        <v>60000</v>
      </c>
      <c r="Q31" s="17" t="n">
        <v>180000</v>
      </c>
      <c r="R31" s="17" t="n">
        <v>450000</v>
      </c>
      <c r="S31" s="15" t="inlineStr">
        <is>
          <t>Wind Farm Beta capex basis</t>
        </is>
      </c>
      <c r="T31" s="9" t="inlineStr">
        <is>
          <t>Yes</t>
        </is>
      </c>
      <c r="U31" s="16" t="n">
        <v>0.35</v>
      </c>
      <c r="V31" s="18" t="n">
        <v>1</v>
      </c>
      <c r="W31" s="18" t="n">
        <v>4</v>
      </c>
      <c r="X31" s="18" t="n">
        <v>10</v>
      </c>
      <c r="Y31" s="15" t="inlineStr">
        <is>
          <t>Synthetic</t>
        </is>
      </c>
      <c r="Z31" s="9" t="inlineStr">
        <is>
          <t>Parallel</t>
        </is>
      </c>
      <c r="AA31" s="9" t="inlineStr">
        <is>
          <t>per_occurrence</t>
        </is>
      </c>
      <c r="AB31" s="19">
        <f>IF(O31="","",O31*IF(OR(LOWER(H31)="pert",LOWER(H31)="binary/pert"),(P31+4*Q31+R31)/6,IF(LOWER(H31)="binary",Q31,IF(LOWER(H31)="lognormal",IF(Q31&lt;=0,0,IF(OR(R31&lt;=P31,R31&lt;=0,P31&lt;=0),ABS(Q31),Q31*EXP((MAX((LN(R31)-LN(P31))/(2*1.2816),0.01)^2)/2))),(P31+Q31+R31)/3))))</f>
        <v/>
      </c>
      <c r="AC31" s="20">
        <f>IF(OR(T31&lt;&gt;"Yes",U31=""),0,U31*(V31+4*W31+X31)/6*IFERROR(INDEX(Methodology!$B$2:$B$20,MATCH(Z31,Methodology!$A$2:$A$20,0)),0))</f>
        <v/>
      </c>
      <c r="AD31" s="19">
        <f>AC31*MC_day_rate</f>
        <v/>
      </c>
      <c r="AE31" s="9" t="n"/>
    </row>
    <row r="32">
      <c r="A32" s="9" t="inlineStr">
        <is>
          <t>WT-028</t>
        </is>
      </c>
      <c r="B32" s="9" t="inlineStr">
        <is>
          <t>Open</t>
        </is>
      </c>
      <c r="C32" s="15" t="inlineStr">
        <is>
          <t>Power transformer delivery delay</t>
        </is>
      </c>
      <c r="D32" s="9" t="inlineStr">
        <is>
          <t>Wind Farm Owner</t>
        </is>
      </c>
      <c r="E32" s="9" t="inlineStr">
        <is>
          <t>Balance of Plant</t>
        </is>
      </c>
      <c r="F32" s="9" t="inlineStr">
        <is>
          <t>Procurement</t>
        </is>
      </c>
      <c r="G32" s="9" t="inlineStr">
        <is>
          <t>Yes</t>
        </is>
      </c>
      <c r="H32" s="9" t="inlineStr">
        <is>
          <t>PERT</t>
        </is>
      </c>
      <c r="I32" s="9" t="inlineStr">
        <is>
          <t>CG05</t>
        </is>
      </c>
      <c r="J32" s="9" t="n"/>
      <c r="K32" s="15" t="inlineStr">
        <is>
          <t>synthetic cause</t>
        </is>
      </c>
      <c r="L32" s="15" t="inlineStr">
        <is>
          <t>synthetic consequence</t>
        </is>
      </c>
      <c r="M32" s="15" t="inlineStr">
        <is>
          <t>synthetic controls</t>
        </is>
      </c>
      <c r="N32" s="9" t="inlineStr">
        <is>
          <t>Yes</t>
        </is>
      </c>
      <c r="O32" s="16" t="n">
        <v>0.25</v>
      </c>
      <c r="P32" s="17" t="n">
        <v>150000</v>
      </c>
      <c r="Q32" s="17" t="n">
        <v>400000</v>
      </c>
      <c r="R32" s="17" t="n">
        <v>1000000</v>
      </c>
      <c r="S32" s="15" t="inlineStr">
        <is>
          <t>Wind Farm Beta capex basis</t>
        </is>
      </c>
      <c r="T32" s="9" t="inlineStr">
        <is>
          <t>No</t>
        </is>
      </c>
      <c r="U32" s="16" t="n">
        <v>0</v>
      </c>
      <c r="V32" s="18" t="n">
        <v>0</v>
      </c>
      <c r="W32" s="18" t="n">
        <v>0</v>
      </c>
      <c r="X32" s="18" t="n">
        <v>0</v>
      </c>
      <c r="Y32" s="15" t="inlineStr">
        <is>
          <t>Synthetic</t>
        </is>
      </c>
      <c r="Z32" s="9" t="n"/>
      <c r="AA32" s="9" t="inlineStr">
        <is>
          <t>per_occurrence</t>
        </is>
      </c>
      <c r="AB32" s="19">
        <f>IF(O32="","",O32*IF(OR(LOWER(H32)="pert",LOWER(H32)="binary/pert"),(P32+4*Q32+R32)/6,IF(LOWER(H32)="binary",Q32,IF(LOWER(H32)="lognormal",IF(Q32&lt;=0,0,IF(OR(R32&lt;=P32,R32&lt;=0,P32&lt;=0),ABS(Q32),Q32*EXP((MAX((LN(R32)-LN(P32))/(2*1.2816),0.01)^2)/2))),(P32+Q32+R32)/3))))</f>
        <v/>
      </c>
      <c r="AC32" s="20">
        <f>IF(OR(T32&lt;&gt;"Yes",U32=""),0,U32*(V32+4*W32+X32)/6*IFERROR(INDEX(Methodology!$B$2:$B$20,MATCH(Z32,Methodology!$A$2:$A$20,0)),0))</f>
        <v/>
      </c>
      <c r="AD32" s="19">
        <f>AC32*MC_day_rate</f>
        <v/>
      </c>
      <c r="AE32" s="9" t="n"/>
    </row>
    <row r="33">
      <c r="A33" s="9" t="inlineStr">
        <is>
          <t>WT-029</t>
        </is>
      </c>
      <c r="B33" s="9" t="inlineStr">
        <is>
          <t>Open</t>
        </is>
      </c>
      <c r="C33" s="15" t="inlineStr">
        <is>
          <t>Control building fit-out overrun</t>
        </is>
      </c>
      <c r="D33" s="9" t="inlineStr">
        <is>
          <t>EPC Contractor</t>
        </is>
      </c>
      <c r="E33" s="9" t="inlineStr">
        <is>
          <t>Balance of Plant</t>
        </is>
      </c>
      <c r="F33" s="9" t="inlineStr">
        <is>
          <t>Building</t>
        </is>
      </c>
      <c r="G33" s="9" t="inlineStr">
        <is>
          <t>Yes</t>
        </is>
      </c>
      <c r="H33" s="9" t="inlineStr">
        <is>
          <t>Triangular</t>
        </is>
      </c>
      <c r="I33" s="9" t="inlineStr">
        <is>
          <t>CG05</t>
        </is>
      </c>
      <c r="J33" s="9" t="n"/>
      <c r="K33" s="15" t="inlineStr">
        <is>
          <t>synthetic cause</t>
        </is>
      </c>
      <c r="L33" s="15" t="inlineStr">
        <is>
          <t>synthetic consequence</t>
        </is>
      </c>
      <c r="M33" s="15" t="inlineStr">
        <is>
          <t>synthetic controls</t>
        </is>
      </c>
      <c r="N33" s="9" t="inlineStr">
        <is>
          <t>Yes</t>
        </is>
      </c>
      <c r="O33" s="16" t="n">
        <v>0.3</v>
      </c>
      <c r="P33" s="17" t="n">
        <v>50000</v>
      </c>
      <c r="Q33" s="17" t="n">
        <v>140000</v>
      </c>
      <c r="R33" s="17" t="n">
        <v>320000</v>
      </c>
      <c r="S33" s="15" t="inlineStr">
        <is>
          <t>Wind Farm Beta capex basis</t>
        </is>
      </c>
      <c r="T33" s="9" t="inlineStr">
        <is>
          <t>No</t>
        </is>
      </c>
      <c r="U33" s="16" t="n">
        <v>0</v>
      </c>
      <c r="V33" s="18" t="n">
        <v>0</v>
      </c>
      <c r="W33" s="18" t="n">
        <v>0</v>
      </c>
      <c r="X33" s="18" t="n">
        <v>0</v>
      </c>
      <c r="Y33" s="15" t="inlineStr">
        <is>
          <t>Synthetic</t>
        </is>
      </c>
      <c r="Z33" s="9" t="n"/>
      <c r="AA33" s="9" t="inlineStr">
        <is>
          <t>per_occurrence</t>
        </is>
      </c>
      <c r="AB33" s="19">
        <f>IF(O33="","",O33*IF(OR(LOWER(H33)="pert",LOWER(H33)="binary/pert"),(P33+4*Q33+R33)/6,IF(LOWER(H33)="binary",Q33,IF(LOWER(H33)="lognormal",IF(Q33&lt;=0,0,IF(OR(R33&lt;=P33,R33&lt;=0,P33&lt;=0),ABS(Q33),Q33*EXP((MAX((LN(R33)-LN(P33))/(2*1.2816),0.01)^2)/2))),(P33+Q33+R33)/3))))</f>
        <v/>
      </c>
      <c r="AC33" s="20">
        <f>IF(OR(T33&lt;&gt;"Yes",U33=""),0,U33*(V33+4*W33+X33)/6*IFERROR(INDEX(Methodology!$B$2:$B$20,MATCH(Z33,Methodology!$A$2:$A$20,0)),0))</f>
        <v/>
      </c>
      <c r="AD33" s="19">
        <f>AC33*MC_day_rate</f>
        <v/>
      </c>
      <c r="AE33" s="9" t="n"/>
    </row>
    <row r="34">
      <c r="A34" s="9" t="inlineStr">
        <is>
          <t>WT-030</t>
        </is>
      </c>
      <c r="B34" s="9" t="inlineStr">
        <is>
          <t>Open</t>
        </is>
      </c>
      <c r="C34" s="15" t="inlineStr">
        <is>
          <t>Earthing &amp; lightning protection rework</t>
        </is>
      </c>
      <c r="D34" s="9" t="inlineStr">
        <is>
          <t>EPC Contractor</t>
        </is>
      </c>
      <c r="E34" s="9" t="inlineStr">
        <is>
          <t>Balance of Plant</t>
        </is>
      </c>
      <c r="F34" s="9" t="inlineStr">
        <is>
          <t>Electrical</t>
        </is>
      </c>
      <c r="G34" s="9" t="inlineStr">
        <is>
          <t>Yes</t>
        </is>
      </c>
      <c r="H34" s="9" t="inlineStr">
        <is>
          <t>PERT</t>
        </is>
      </c>
      <c r="I34" s="9" t="inlineStr">
        <is>
          <t>CG05</t>
        </is>
      </c>
      <c r="J34" s="9" t="n"/>
      <c r="K34" s="15" t="inlineStr">
        <is>
          <t>synthetic cause</t>
        </is>
      </c>
      <c r="L34" s="15" t="inlineStr">
        <is>
          <t>synthetic consequence</t>
        </is>
      </c>
      <c r="M34" s="15" t="inlineStr">
        <is>
          <t>synthetic controls</t>
        </is>
      </c>
      <c r="N34" s="9" t="inlineStr">
        <is>
          <t>Yes</t>
        </is>
      </c>
      <c r="O34" s="16" t="n">
        <v>0.25</v>
      </c>
      <c r="P34" s="17" t="n">
        <v>40000</v>
      </c>
      <c r="Q34" s="17" t="n">
        <v>110000</v>
      </c>
      <c r="R34" s="17" t="n">
        <v>280000</v>
      </c>
      <c r="S34" s="15" t="inlineStr">
        <is>
          <t>Wind Farm Beta capex basis</t>
        </is>
      </c>
      <c r="T34" s="9" t="inlineStr">
        <is>
          <t>No</t>
        </is>
      </c>
      <c r="U34" s="16" t="n">
        <v>0</v>
      </c>
      <c r="V34" s="18" t="n">
        <v>0</v>
      </c>
      <c r="W34" s="18" t="n">
        <v>0</v>
      </c>
      <c r="X34" s="18" t="n">
        <v>0</v>
      </c>
      <c r="Y34" s="15" t="inlineStr">
        <is>
          <t>Synthetic</t>
        </is>
      </c>
      <c r="Z34" s="9" t="n"/>
      <c r="AA34" s="9" t="inlineStr">
        <is>
          <t>per_occurrence</t>
        </is>
      </c>
      <c r="AB34" s="19">
        <f>IF(O34="","",O34*IF(OR(LOWER(H34)="pert",LOWER(H34)="binary/pert"),(P34+4*Q34+R34)/6,IF(LOWER(H34)="binary",Q34,IF(LOWER(H34)="lognormal",IF(Q34&lt;=0,0,IF(OR(R34&lt;=P34,R34&lt;=0,P34&lt;=0),ABS(Q34),Q34*EXP((MAX((LN(R34)-LN(P34))/(2*1.2816),0.01)^2)/2))),(P34+Q34+R34)/3))))</f>
        <v/>
      </c>
      <c r="AC34" s="20">
        <f>IF(OR(T34&lt;&gt;"Yes",U34=""),0,U34*(V34+4*W34+X34)/6*IFERROR(INDEX(Methodology!$B$2:$B$20,MATCH(Z34,Methodology!$A$2:$A$20,0)),0))</f>
        <v/>
      </c>
      <c r="AD34" s="19">
        <f>AC34*MC_day_rate</f>
        <v/>
      </c>
      <c r="AE34" s="9" t="n"/>
    </row>
    <row r="35">
      <c r="A35" s="9" t="inlineStr">
        <is>
          <t>WT-031</t>
        </is>
      </c>
      <c r="B35" s="9" t="inlineStr">
        <is>
          <t>Open</t>
        </is>
      </c>
      <c r="C35" s="15" t="inlineStr">
        <is>
          <t>SCADA integration defects</t>
        </is>
      </c>
      <c r="D35" s="9" t="inlineStr">
        <is>
          <t>Shared</t>
        </is>
      </c>
      <c r="E35" s="9" t="inlineStr">
        <is>
          <t>Commissioning &amp; Controls</t>
        </is>
      </c>
      <c r="F35" s="9" t="inlineStr">
        <is>
          <t>Controls</t>
        </is>
      </c>
      <c r="G35" s="9" t="inlineStr">
        <is>
          <t>Yes</t>
        </is>
      </c>
      <c r="H35" s="9" t="inlineStr">
        <is>
          <t>PERT</t>
        </is>
      </c>
      <c r="I35" s="9" t="inlineStr">
        <is>
          <t>CG06</t>
        </is>
      </c>
      <c r="J35" s="9" t="n"/>
      <c r="K35" s="15" t="inlineStr">
        <is>
          <t>synthetic cause</t>
        </is>
      </c>
      <c r="L35" s="15" t="inlineStr">
        <is>
          <t>synthetic consequence</t>
        </is>
      </c>
      <c r="M35" s="15" t="inlineStr">
        <is>
          <t>synthetic controls</t>
        </is>
      </c>
      <c r="N35" s="9" t="inlineStr">
        <is>
          <t>Yes</t>
        </is>
      </c>
      <c r="O35" s="16" t="n">
        <v>0.5</v>
      </c>
      <c r="P35" s="17" t="n">
        <v>110000</v>
      </c>
      <c r="Q35" s="17" t="n">
        <v>300000</v>
      </c>
      <c r="R35" s="17" t="n">
        <v>700000</v>
      </c>
      <c r="S35" s="15" t="inlineStr">
        <is>
          <t>Wind Farm Beta capex basis</t>
        </is>
      </c>
      <c r="T35" s="9" t="inlineStr">
        <is>
          <t>Yes</t>
        </is>
      </c>
      <c r="U35" s="16" t="n">
        <v>0.5</v>
      </c>
      <c r="V35" s="18" t="n">
        <v>4</v>
      </c>
      <c r="W35" s="18" t="n">
        <v>9</v>
      </c>
      <c r="X35" s="18" t="n">
        <v>19</v>
      </c>
      <c r="Y35" s="15" t="inlineStr">
        <is>
          <t>Synthetic</t>
        </is>
      </c>
      <c r="Z35" s="9" t="inlineStr">
        <is>
          <t>Series</t>
        </is>
      </c>
      <c r="AA35" s="9" t="inlineStr">
        <is>
          <t>per_occurrence</t>
        </is>
      </c>
      <c r="AB35" s="19">
        <f>IF(O35="","",O35*IF(OR(LOWER(H35)="pert",LOWER(H35)="binary/pert"),(P35+4*Q35+R35)/6,IF(LOWER(H35)="binary",Q35,IF(LOWER(H35)="lognormal",IF(Q35&lt;=0,0,IF(OR(R35&lt;=P35,R35&lt;=0,P35&lt;=0),ABS(Q35),Q35*EXP((MAX((LN(R35)-LN(P35))/(2*1.2816),0.01)^2)/2))),(P35+Q35+R35)/3))))</f>
        <v/>
      </c>
      <c r="AC35" s="20">
        <f>IF(OR(T35&lt;&gt;"Yes",U35=""),0,U35*(V35+4*W35+X35)/6*IFERROR(INDEX(Methodology!$B$2:$B$20,MATCH(Z35,Methodology!$A$2:$A$20,0)),0))</f>
        <v/>
      </c>
      <c r="AD35" s="19">
        <f>AC35*MC_day_rate</f>
        <v/>
      </c>
      <c r="AE35" s="9" t="n"/>
    </row>
    <row r="36">
      <c r="A36" s="9" t="inlineStr">
        <is>
          <t>WT-032</t>
        </is>
      </c>
      <c r="B36" s="9" t="inlineStr">
        <is>
          <t>Open</t>
        </is>
      </c>
      <c r="C36" s="15" t="inlineStr">
        <is>
          <t>Turbine commissioning faults</t>
        </is>
      </c>
      <c r="D36" s="9" t="inlineStr">
        <is>
          <t>EPC Contractor</t>
        </is>
      </c>
      <c r="E36" s="9" t="inlineStr">
        <is>
          <t>Commissioning &amp; Controls</t>
        </is>
      </c>
      <c r="F36" s="9" t="inlineStr">
        <is>
          <t>Commissioning</t>
        </is>
      </c>
      <c r="G36" s="9" t="inlineStr">
        <is>
          <t>Yes</t>
        </is>
      </c>
      <c r="H36" s="9" t="inlineStr">
        <is>
          <t>Triangular</t>
        </is>
      </c>
      <c r="I36" s="9" t="inlineStr">
        <is>
          <t>CG06</t>
        </is>
      </c>
      <c r="J36" s="9" t="n"/>
      <c r="K36" s="15" t="inlineStr">
        <is>
          <t>synthetic cause</t>
        </is>
      </c>
      <c r="L36" s="15" t="inlineStr">
        <is>
          <t>synthetic consequence</t>
        </is>
      </c>
      <c r="M36" s="15" t="inlineStr">
        <is>
          <t>synthetic controls</t>
        </is>
      </c>
      <c r="N36" s="9" t="inlineStr">
        <is>
          <t>Yes</t>
        </is>
      </c>
      <c r="O36" s="16" t="n">
        <v>0.45</v>
      </c>
      <c r="P36" s="17" t="n">
        <v>90000</v>
      </c>
      <c r="Q36" s="17" t="n">
        <v>250000</v>
      </c>
      <c r="R36" s="17" t="n">
        <v>600000</v>
      </c>
      <c r="S36" s="15" t="inlineStr">
        <is>
          <t>Wind Farm Beta capex basis</t>
        </is>
      </c>
      <c r="T36" s="9" t="inlineStr">
        <is>
          <t>Yes</t>
        </is>
      </c>
      <c r="U36" s="16" t="n">
        <v>0.45</v>
      </c>
      <c r="V36" s="18" t="n">
        <v>3</v>
      </c>
      <c r="W36" s="18" t="n">
        <v>7</v>
      </c>
      <c r="X36" s="18" t="n">
        <v>16</v>
      </c>
      <c r="Y36" s="15" t="inlineStr">
        <is>
          <t>Synthetic</t>
        </is>
      </c>
      <c r="Z36" s="9" t="inlineStr">
        <is>
          <t>Hybrid</t>
        </is>
      </c>
      <c r="AA36" s="9" t="inlineStr">
        <is>
          <t>per_occurrence</t>
        </is>
      </c>
      <c r="AB36" s="19">
        <f>IF(O36="","",O36*IF(OR(LOWER(H36)="pert",LOWER(H36)="binary/pert"),(P36+4*Q36+R36)/6,IF(LOWER(H36)="binary",Q36,IF(LOWER(H36)="lognormal",IF(Q36&lt;=0,0,IF(OR(R36&lt;=P36,R36&lt;=0,P36&lt;=0),ABS(Q36),Q36*EXP((MAX((LN(R36)-LN(P36))/(2*1.2816),0.01)^2)/2))),(P36+Q36+R36)/3))))</f>
        <v/>
      </c>
      <c r="AC36" s="20">
        <f>IF(OR(T36&lt;&gt;"Yes",U36=""),0,U36*(V36+4*W36+X36)/6*IFERROR(INDEX(Methodology!$B$2:$B$20,MATCH(Z36,Methodology!$A$2:$A$20,0)),0))</f>
        <v/>
      </c>
      <c r="AD36" s="19">
        <f>AC36*MC_day_rate</f>
        <v/>
      </c>
      <c r="AE36" s="9" t="n"/>
    </row>
    <row r="37">
      <c r="A37" s="9" t="inlineStr">
        <is>
          <t>WT-033</t>
        </is>
      </c>
      <c r="B37" s="9" t="inlineStr">
        <is>
          <t>Open</t>
        </is>
      </c>
      <c r="C37" s="15" t="inlineStr">
        <is>
          <t>Power performance test shortfall</t>
        </is>
      </c>
      <c r="D37" s="9" t="inlineStr">
        <is>
          <t>Wind Farm Owner</t>
        </is>
      </c>
      <c r="E37" s="9" t="inlineStr">
        <is>
          <t>Commissioning &amp; Controls</t>
        </is>
      </c>
      <c r="F37" s="9" t="inlineStr">
        <is>
          <t>Testing</t>
        </is>
      </c>
      <c r="G37" s="9" t="inlineStr">
        <is>
          <t>Yes</t>
        </is>
      </c>
      <c r="H37" s="9" t="inlineStr">
        <is>
          <t>PERT</t>
        </is>
      </c>
      <c r="I37" s="9" t="inlineStr">
        <is>
          <t>CG06</t>
        </is>
      </c>
      <c r="J37" s="9" t="n"/>
      <c r="K37" s="15" t="inlineStr">
        <is>
          <t>synthetic cause</t>
        </is>
      </c>
      <c r="L37" s="15" t="inlineStr">
        <is>
          <t>synthetic consequence</t>
        </is>
      </c>
      <c r="M37" s="15" t="inlineStr">
        <is>
          <t>synthetic controls</t>
        </is>
      </c>
      <c r="N37" s="9" t="inlineStr">
        <is>
          <t>Yes</t>
        </is>
      </c>
      <c r="O37" s="16" t="n">
        <v>0.3</v>
      </c>
      <c r="P37" s="17" t="n">
        <v>60000</v>
      </c>
      <c r="Q37" s="17" t="n">
        <v>160000</v>
      </c>
      <c r="R37" s="17" t="n">
        <v>400000</v>
      </c>
      <c r="S37" s="15" t="inlineStr">
        <is>
          <t>Wind Farm Beta capex basis</t>
        </is>
      </c>
      <c r="T37" s="9" t="inlineStr">
        <is>
          <t>No</t>
        </is>
      </c>
      <c r="U37" s="16" t="n">
        <v>0</v>
      </c>
      <c r="V37" s="18" t="n">
        <v>0</v>
      </c>
      <c r="W37" s="18" t="n">
        <v>0</v>
      </c>
      <c r="X37" s="18" t="n">
        <v>0</v>
      </c>
      <c r="Y37" s="15" t="inlineStr">
        <is>
          <t>Synthetic</t>
        </is>
      </c>
      <c r="Z37" s="9" t="n"/>
      <c r="AA37" s="9" t="inlineStr">
        <is>
          <t>per_occurrence</t>
        </is>
      </c>
      <c r="AB37" s="19">
        <f>IF(O37="","",O37*IF(OR(LOWER(H37)="pert",LOWER(H37)="binary/pert"),(P37+4*Q37+R37)/6,IF(LOWER(H37)="binary",Q37,IF(LOWER(H37)="lognormal",IF(Q37&lt;=0,0,IF(OR(R37&lt;=P37,R37&lt;=0,P37&lt;=0),ABS(Q37),Q37*EXP((MAX((LN(R37)-LN(P37))/(2*1.2816),0.01)^2)/2))),(P37+Q37+R37)/3))))</f>
        <v/>
      </c>
      <c r="AC37" s="20">
        <f>IF(OR(T37&lt;&gt;"Yes",U37=""),0,U37*(V37+4*W37+X37)/6*IFERROR(INDEX(Methodology!$B$2:$B$20,MATCH(Z37,Methodology!$A$2:$A$20,0)),0))</f>
        <v/>
      </c>
      <c r="AD37" s="19">
        <f>AC37*MC_day_rate</f>
        <v/>
      </c>
      <c r="AE37" s="9" t="n"/>
    </row>
    <row r="38">
      <c r="A38" s="9" t="inlineStr">
        <is>
          <t>WT-034</t>
        </is>
      </c>
      <c r="B38" s="9" t="inlineStr">
        <is>
          <t>Open</t>
        </is>
      </c>
      <c r="C38" s="15" t="inlineStr">
        <is>
          <t>Grid code compliance retest</t>
        </is>
      </c>
      <c r="D38" s="9" t="inlineStr">
        <is>
          <t>Shared</t>
        </is>
      </c>
      <c r="E38" s="9" t="inlineStr">
        <is>
          <t>Commissioning &amp; Controls</t>
        </is>
      </c>
      <c r="F38" s="9" t="inlineStr">
        <is>
          <t>Testing</t>
        </is>
      </c>
      <c r="G38" s="9" t="inlineStr">
        <is>
          <t>Yes</t>
        </is>
      </c>
      <c r="H38" s="9" t="inlineStr">
        <is>
          <t>Triangular</t>
        </is>
      </c>
      <c r="I38" s="9" t="inlineStr">
        <is>
          <t>CG06</t>
        </is>
      </c>
      <c r="J38" s="9" t="n"/>
      <c r="K38" s="15" t="inlineStr">
        <is>
          <t>synthetic cause</t>
        </is>
      </c>
      <c r="L38" s="15" t="inlineStr">
        <is>
          <t>synthetic consequence</t>
        </is>
      </c>
      <c r="M38" s="15" t="inlineStr">
        <is>
          <t>synthetic controls</t>
        </is>
      </c>
      <c r="N38" s="9" t="inlineStr">
        <is>
          <t>Yes</t>
        </is>
      </c>
      <c r="O38" s="16" t="n">
        <v>0.25</v>
      </c>
      <c r="P38" s="17" t="n">
        <v>70000</v>
      </c>
      <c r="Q38" s="17" t="n">
        <v>180000</v>
      </c>
      <c r="R38" s="17" t="n">
        <v>450000</v>
      </c>
      <c r="S38" s="15" t="inlineStr">
        <is>
          <t>Wind Farm Beta capex basis</t>
        </is>
      </c>
      <c r="T38" s="9" t="inlineStr">
        <is>
          <t>No</t>
        </is>
      </c>
      <c r="U38" s="16" t="n">
        <v>0</v>
      </c>
      <c r="V38" s="18" t="n">
        <v>0</v>
      </c>
      <c r="W38" s="18" t="n">
        <v>0</v>
      </c>
      <c r="X38" s="18" t="n">
        <v>0</v>
      </c>
      <c r="Y38" s="15" t="inlineStr">
        <is>
          <t>Synthetic</t>
        </is>
      </c>
      <c r="Z38" s="9" t="n"/>
      <c r="AA38" s="9" t="inlineStr">
        <is>
          <t>per_occurrence</t>
        </is>
      </c>
      <c r="AB38" s="19">
        <f>IF(O38="","",O38*IF(OR(LOWER(H38)="pert",LOWER(H38)="binary/pert"),(P38+4*Q38+R38)/6,IF(LOWER(H38)="binary",Q38,IF(LOWER(H38)="lognormal",IF(Q38&lt;=0,0,IF(OR(R38&lt;=P38,R38&lt;=0,P38&lt;=0),ABS(Q38),Q38*EXP((MAX((LN(R38)-LN(P38))/(2*1.2816),0.01)^2)/2))),(P38+Q38+R38)/3))))</f>
        <v/>
      </c>
      <c r="AC38" s="20">
        <f>IF(OR(T38&lt;&gt;"Yes",U38=""),0,U38*(V38+4*W38+X38)/6*IFERROR(INDEX(Methodology!$B$2:$B$20,MATCH(Z38,Methodology!$A$2:$A$20,0)),0))</f>
        <v/>
      </c>
      <c r="AD38" s="19">
        <f>AC38*MC_day_rate</f>
        <v/>
      </c>
      <c r="AE38" s="9" t="n"/>
    </row>
    <row r="39">
      <c r="A39" s="9" t="inlineStr">
        <is>
          <t>WT-035</t>
        </is>
      </c>
      <c r="B39" s="9" t="inlineStr">
        <is>
          <t>Open</t>
        </is>
      </c>
      <c r="C39" s="15" t="inlineStr">
        <is>
          <t>Punchlist / defects liability</t>
        </is>
      </c>
      <c r="D39" s="9" t="inlineStr">
        <is>
          <t>EPC Contractor</t>
        </is>
      </c>
      <c r="E39" s="9" t="inlineStr">
        <is>
          <t>Commissioning &amp; Controls</t>
        </is>
      </c>
      <c r="F39" s="9" t="inlineStr">
        <is>
          <t>Closeout</t>
        </is>
      </c>
      <c r="G39" s="9" t="inlineStr">
        <is>
          <t>Yes</t>
        </is>
      </c>
      <c r="H39" s="9" t="inlineStr">
        <is>
          <t>PERT</t>
        </is>
      </c>
      <c r="I39" s="9" t="inlineStr">
        <is>
          <t>CG06</t>
        </is>
      </c>
      <c r="J39" s="9" t="n"/>
      <c r="K39" s="15" t="inlineStr">
        <is>
          <t>synthetic cause</t>
        </is>
      </c>
      <c r="L39" s="15" t="inlineStr">
        <is>
          <t>synthetic consequence</t>
        </is>
      </c>
      <c r="M39" s="15" t="inlineStr">
        <is>
          <t>synthetic controls</t>
        </is>
      </c>
      <c r="N39" s="9" t="inlineStr">
        <is>
          <t>Yes</t>
        </is>
      </c>
      <c r="O39" s="16" t="n">
        <v>0.4</v>
      </c>
      <c r="P39" s="17" t="n">
        <v>50000</v>
      </c>
      <c r="Q39" s="17" t="n">
        <v>140000</v>
      </c>
      <c r="R39" s="17" t="n">
        <v>350000</v>
      </c>
      <c r="S39" s="15" t="inlineStr">
        <is>
          <t>Wind Farm Beta capex basis</t>
        </is>
      </c>
      <c r="T39" s="9" t="inlineStr">
        <is>
          <t>No</t>
        </is>
      </c>
      <c r="U39" s="16" t="n">
        <v>0</v>
      </c>
      <c r="V39" s="18" t="n">
        <v>0</v>
      </c>
      <c r="W39" s="18" t="n">
        <v>0</v>
      </c>
      <c r="X39" s="18" t="n">
        <v>0</v>
      </c>
      <c r="Y39" s="15" t="inlineStr">
        <is>
          <t>Synthetic</t>
        </is>
      </c>
      <c r="Z39" s="9" t="n"/>
      <c r="AA39" s="9" t="inlineStr">
        <is>
          <t>per_occurrence</t>
        </is>
      </c>
      <c r="AB39" s="19">
        <f>IF(O39="","",O39*IF(OR(LOWER(H39)="pert",LOWER(H39)="binary/pert"),(P39+4*Q39+R39)/6,IF(LOWER(H39)="binary",Q39,IF(LOWER(H39)="lognormal",IF(Q39&lt;=0,0,IF(OR(R39&lt;=P39,R39&lt;=0,P39&lt;=0),ABS(Q39),Q39*EXP((MAX((LN(R39)-LN(P39))/(2*1.2816),0.01)^2)/2))),(P39+Q39+R39)/3))))</f>
        <v/>
      </c>
      <c r="AC39" s="20">
        <f>IF(OR(T39&lt;&gt;"Yes",U39=""),0,U39*(V39+4*W39+X39)/6*IFERROR(INDEX(Methodology!$B$2:$B$20,MATCH(Z39,Methodology!$A$2:$A$20,0)),0))</f>
        <v/>
      </c>
      <c r="AD39" s="19">
        <f>AC39*MC_day_rate</f>
        <v/>
      </c>
      <c r="AE39" s="9" t="n"/>
    </row>
  </sheetData>
  <sheetProtection selectLockedCells="0" selectUnlockedCells="0" sheet="1" objects="0" insertRows="1" insertHyperlinks="1" autoFilter="0" scenarios="0" formatColumns="1" deleteColumns="1" insertColumns="1" pivotTables="1" deleteRows="1" formatCells="1" formatRows="1" sort="0"/>
  <autoFilter ref="A4:AE39"/>
  <conditionalFormatting sqref="H5:H39">
    <cfRule type="expression" priority="1" dxfId="0">
      <formula>AND($G5="Yes",H5="")</formula>
    </cfRule>
  </conditionalFormatting>
  <dataValidations count="9">
    <dataValidation sqref="H5:H39" showDropDown="0" showInputMessage="0" showErrorMessage="0" allowBlank="1" errorTitle="Invalid Distribution" error="Choose a value from the Distribution cascade list (edit it on the Lists tab)." type="list">
      <formula1>List_Distribution</formula1>
    </dataValidation>
    <dataValidation sqref="G5:G39" showDropDown="0" showInputMessage="0" showErrorMessage="0" allowBlank="1" errorTitle="Invalid MCInclude" error="Choose a value from the MCInclude cascade list (edit it on the Lists tab)." type="list">
      <formula1>List_MCInclude</formula1>
    </dataValidation>
    <dataValidation sqref="T5:T39" showDropDown="0" showInputMessage="0" showErrorMessage="0" allowBlank="1" errorTitle="Invalid TimeImpact" error="Choose a value from the TimeImpact cascade list (edit it on the Lists tab)." type="list">
      <formula1>List_TimeImpact</formula1>
    </dataValidation>
    <dataValidation sqref="J5:J39" showDropDown="0" showInputMessage="0" showErrorMessage="0" allowBlank="1" errorTitle="Invalid Recurrence" error="Choose a value from the Recurrence cascade list (edit it on the Lists tab)." type="list">
      <formula1>List_Recurrence</formula1>
    </dataValidation>
    <dataValidation sqref="Z5:Z39" showDropDown="0" showInputMessage="0" showErrorMessage="0" allowBlank="1" errorTitle="Invalid Mode" error="Choose a value from the Mode cascade list (edit it on the Lists tab)." type="list">
      <formula1>List_Mode</formula1>
    </dataValidation>
    <dataValidation sqref="I5:I39" showDropDown="0" showInputMessage="0" showErrorMessage="0" allowBlank="1" errorTitle="Invalid CGCode" error="Choose a value from the CGCode cascade list (edit it on the Lists tab)." type="list">
      <formula1>List_CGCode</formula1>
    </dataValidation>
    <dataValidation sqref="E5:E39" showDropDown="0" showInputMessage="0" showErrorMessage="0" allowBlank="1" errorTitle="Invalid RBS_L1" error="Choose a value from the RBS_L1 cascade list (edit it on the Lists tab)." type="list">
      <formula1>List_RBS_L1</formula1>
    </dataValidation>
    <dataValidation sqref="F5:F39" showDropDown="0" showInputMessage="0" showErrorMessage="0" allowBlank="1" errorTitle="Invalid RBS_L2" error="Choose a value from the RBS_L2 cascade list (edit it on the Lists tab)." type="list">
      <formula1>List_RBS_L2</formula1>
    </dataValidation>
    <dataValidation sqref="D5:D39" showDropDown="0" showInputMessage="0" showErrorMessage="0" allowBlank="1" errorTitle="Invalid Package" error="Choose a value from the Package cascade list (edit it on the Lists tab)." type="list">
      <formula1>List_Package</formula1>
    </dataValidation>
  </dataValidation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tabColor rgb="00A5A5A5"/>
    <outlinePr summaryBelow="1" summaryRight="1"/>
    <pageSetUpPr/>
  </sheetPr>
  <dimension ref="A1:J16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t="inlineStr">
        <is>
          <t>Cascade lists - edit here; the Risk Register dropdowns follow.</t>
        </is>
      </c>
    </row>
    <row r="2">
      <c r="A2" s="21" t="inlineStr">
        <is>
          <t>Distribution</t>
        </is>
      </c>
      <c r="B2" s="21" t="inlineStr">
        <is>
          <t>MCInclude</t>
        </is>
      </c>
      <c r="C2" s="21" t="inlineStr">
        <is>
          <t>TimeImpact</t>
        </is>
      </c>
      <c r="D2" s="21" t="inlineStr">
        <is>
          <t>Recurrence</t>
        </is>
      </c>
      <c r="E2" s="21" t="inlineStr">
        <is>
          <t>Mode</t>
        </is>
      </c>
      <c r="F2" s="21" t="inlineStr">
        <is>
          <t>CGCode</t>
        </is>
      </c>
      <c r="G2" s="21" t="inlineStr">
        <is>
          <t>RBS_L1</t>
        </is>
      </c>
      <c r="H2" s="21" t="inlineStr">
        <is>
          <t>RBS_L2</t>
        </is>
      </c>
      <c r="I2" s="21" t="inlineStr">
        <is>
          <t>Package</t>
        </is>
      </c>
      <c r="J2" s="21" t="inlineStr">
        <is>
          <t>Factor</t>
        </is>
      </c>
    </row>
    <row r="3">
      <c r="A3" s="22" t="inlineStr">
        <is>
          <t>PERT</t>
        </is>
      </c>
      <c r="B3" s="22" t="inlineStr">
        <is>
          <t>Yes</t>
        </is>
      </c>
      <c r="C3" s="22" t="inlineStr">
        <is>
          <t>Yes</t>
        </is>
      </c>
      <c r="D3" s="22" t="inlineStr">
        <is>
          <t>Single</t>
        </is>
      </c>
      <c r="E3" s="22" t="inlineStr">
        <is>
          <t>Series</t>
        </is>
      </c>
      <c r="F3" s="22" t="inlineStr">
        <is>
          <t>CG01</t>
        </is>
      </c>
      <c r="G3" s="22" t="inlineStr">
        <is>
          <t>Technical</t>
        </is>
      </c>
      <c r="H3" s="22" t="inlineStr">
        <is>
          <t>Design</t>
        </is>
      </c>
      <c r="I3" s="22" t="inlineStr">
        <is>
          <t>Civil</t>
        </is>
      </c>
      <c r="J3" s="22" t="inlineStr">
        <is>
          <t>Provisions</t>
        </is>
      </c>
    </row>
    <row r="4">
      <c r="A4" s="22" t="inlineStr">
        <is>
          <t>Triangular</t>
        </is>
      </c>
      <c r="B4" s="22" t="inlineStr">
        <is>
          <t>No</t>
        </is>
      </c>
      <c r="C4" s="22" t="inlineStr">
        <is>
          <t>No</t>
        </is>
      </c>
      <c r="D4" s="22" t="inlineStr">
        <is>
          <t>Recurring</t>
        </is>
      </c>
      <c r="E4" s="22" t="inlineStr">
        <is>
          <t>Hybrid</t>
        </is>
      </c>
      <c r="F4" s="22" t="inlineStr">
        <is>
          <t>CG02</t>
        </is>
      </c>
      <c r="G4" s="22" t="inlineStr">
        <is>
          <t>Commercial</t>
        </is>
      </c>
      <c r="H4" s="22" t="inlineStr">
        <is>
          <t>Construction</t>
        </is>
      </c>
      <c r="I4" s="22" t="inlineStr">
        <is>
          <t>Structural</t>
        </is>
      </c>
      <c r="J4" s="22" t="inlineStr">
        <is>
          <t>Duration</t>
        </is>
      </c>
    </row>
    <row r="5">
      <c r="A5" s="22" t="inlineStr">
        <is>
          <t>Lognormal</t>
        </is>
      </c>
      <c r="D5" s="22" t="inlineStr">
        <is>
          <t>None</t>
        </is>
      </c>
      <c r="E5" s="22" t="inlineStr">
        <is>
          <t>Parallel</t>
        </is>
      </c>
      <c r="F5" s="22" t="inlineStr">
        <is>
          <t>CG03</t>
        </is>
      </c>
      <c r="G5" s="22" t="inlineStr">
        <is>
          <t>Management</t>
        </is>
      </c>
      <c r="H5" s="22" t="inlineStr">
        <is>
          <t>Procurement</t>
        </is>
      </c>
      <c r="I5" s="22" t="inlineStr">
        <is>
          <t>Mechanical</t>
        </is>
      </c>
      <c r="J5" s="22" t="inlineStr">
        <is>
          <t>Q_Civils</t>
        </is>
      </c>
    </row>
    <row r="6">
      <c r="A6" s="22" t="inlineStr">
        <is>
          <t>Binary</t>
        </is>
      </c>
      <c r="F6" s="22" t="inlineStr">
        <is>
          <t>CG04</t>
        </is>
      </c>
      <c r="G6" s="22" t="inlineStr">
        <is>
          <t>External</t>
        </is>
      </c>
      <c r="H6" s="22" t="inlineStr">
        <is>
          <t>Interface</t>
        </is>
      </c>
      <c r="I6" s="22" t="inlineStr">
        <is>
          <t>Electrical</t>
        </is>
      </c>
      <c r="J6" s="22" t="inlineStr">
        <is>
          <t>Q_Elec</t>
        </is>
      </c>
    </row>
    <row r="7">
      <c r="A7" s="22" t="inlineStr">
        <is>
          <t>Binary/PERT</t>
        </is>
      </c>
      <c r="F7" s="22" t="inlineStr">
        <is>
          <t>CG05</t>
        </is>
      </c>
      <c r="G7" s="22" t="inlineStr">
        <is>
          <t>Environmental</t>
        </is>
      </c>
      <c r="H7" s="22" t="inlineStr">
        <is>
          <t>Approvals</t>
        </is>
      </c>
      <c r="I7" s="22" t="inlineStr">
        <is>
          <t>Piping</t>
        </is>
      </c>
      <c r="J7" s="22" t="inlineStr">
        <is>
          <t>Q_Grid</t>
        </is>
      </c>
    </row>
    <row r="8">
      <c r="F8" s="22" t="inlineStr">
        <is>
          <t>CG06</t>
        </is>
      </c>
      <c r="G8" s="22" t="inlineStr">
        <is>
          <t>Delivery</t>
        </is>
      </c>
      <c r="H8" s="22" t="inlineStr">
        <is>
          <t>Weather</t>
        </is>
      </c>
      <c r="I8" s="22" t="inlineStr">
        <is>
          <t>Instrumentation</t>
        </is>
      </c>
      <c r="J8" s="22" t="inlineStr">
        <is>
          <t>R_Turbine</t>
        </is>
      </c>
    </row>
    <row r="9">
      <c r="F9" s="22" t="inlineStr">
        <is>
          <t>CG07</t>
        </is>
      </c>
      <c r="H9" s="22" t="inlineStr">
        <is>
          <t>Ground Conditions</t>
        </is>
      </c>
      <c r="I9" s="22" t="inlineStr">
        <is>
          <t>Commissioning</t>
        </is>
      </c>
      <c r="J9" s="22" t="inlineStr">
        <is>
          <t>FX</t>
        </is>
      </c>
    </row>
    <row r="10">
      <c r="F10" s="22" t="inlineStr">
        <is>
          <t>CG08</t>
        </is>
      </c>
      <c r="H10" s="22" t="inlineStr">
        <is>
          <t>Commissioning</t>
        </is>
      </c>
      <c r="I10" s="22" t="inlineStr">
        <is>
          <t>Management</t>
        </is>
      </c>
      <c r="J10" s="22" t="inlineStr">
        <is>
          <t>R_Concrete</t>
        </is>
      </c>
    </row>
    <row r="11">
      <c r="F11" s="22" t="inlineStr">
        <is>
          <t>CG09</t>
        </is>
      </c>
      <c r="J11" s="22" t="inlineStr">
        <is>
          <t>R_Steel</t>
        </is>
      </c>
    </row>
    <row r="12">
      <c r="F12" s="22" t="inlineStr">
        <is>
          <t>CG10</t>
        </is>
      </c>
      <c r="J12" s="22" t="inlineStr">
        <is>
          <t>R_General</t>
        </is>
      </c>
    </row>
    <row r="13">
      <c r="F13" s="22" t="inlineStr">
        <is>
          <t>CG11</t>
        </is>
      </c>
      <c r="J13" s="22" t="inlineStr">
        <is>
          <t>R_Plant</t>
        </is>
      </c>
    </row>
    <row r="14">
      <c r="F14" s="22" t="inlineStr">
        <is>
          <t>CG12</t>
        </is>
      </c>
      <c r="J14" s="22" t="inlineStr">
        <is>
          <t>R_Subcon</t>
        </is>
      </c>
    </row>
    <row r="15">
      <c r="F15" s="22" t="inlineStr">
        <is>
          <t>CG13</t>
        </is>
      </c>
      <c r="J15" s="22" t="inlineStr">
        <is>
          <t>R_Staff</t>
        </is>
      </c>
    </row>
    <row r="16">
      <c r="J16" s="22" t="inlineStr">
        <is>
          <t>R_Labour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A5A5A5"/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8" t="inlineStr">
        <is>
          <t>Risk ID</t>
        </is>
      </c>
      <c r="B1" s="8" t="inlineStr">
        <is>
          <t>Pattern_ID</t>
        </is>
      </c>
      <c r="C1" s="8" t="inlineStr">
        <is>
          <t>Prefix_List</t>
        </is>
      </c>
      <c r="D1" s="8" t="inlineStr">
        <is>
          <t>Activity_Count</t>
        </is>
      </c>
      <c r="E1" s="8" t="inlineStr">
        <is>
          <t>Gating_Activity_ID</t>
        </is>
      </c>
      <c r="F1" s="8" t="inlineStr">
        <is>
          <t>Injection_Method</t>
        </is>
      </c>
    </row>
    <row r="2">
      <c r="A2" s="8" t="inlineStr">
        <is>
          <t>WT-001</t>
        </is>
      </c>
      <c r="B2" s="8" t="inlineStr">
        <is>
          <t>P-WT-001</t>
        </is>
      </c>
      <c r="C2" s="8" t="inlineStr">
        <is>
          <t>20.A</t>
        </is>
      </c>
      <c r="D2" s="8" t="n">
        <v>11</v>
      </c>
      <c r="E2" s="8" t="inlineStr">
        <is>
          <t>20.G.001</t>
        </is>
      </c>
      <c r="F2" s="8" t="n"/>
    </row>
    <row r="3">
      <c r="A3" s="8" t="inlineStr">
        <is>
          <t>WT-002</t>
        </is>
      </c>
      <c r="B3" s="8" t="inlineStr">
        <is>
          <t>P-WT-002</t>
        </is>
      </c>
      <c r="C3" s="8" t="inlineStr">
        <is>
          <t>10.G.001</t>
        </is>
      </c>
      <c r="D3" s="8" t="n">
        <v>1</v>
      </c>
      <c r="E3" s="8" t="inlineStr">
        <is>
          <t>10.G.001</t>
        </is>
      </c>
      <c r="F3" s="8" t="n"/>
    </row>
    <row r="4">
      <c r="A4" s="8" t="inlineStr">
        <is>
          <t>WT-008</t>
        </is>
      </c>
      <c r="B4" s="8" t="inlineStr">
        <is>
          <t>P-WT-008</t>
        </is>
      </c>
      <c r="C4" s="8" t="inlineStr">
        <is>
          <t>30.A</t>
        </is>
      </c>
      <c r="D4" s="8" t="n">
        <v>11</v>
      </c>
      <c r="E4" s="8" t="inlineStr">
        <is>
          <t>30.G.001</t>
        </is>
      </c>
      <c r="F4" s="8" t="n"/>
    </row>
    <row r="5">
      <c r="A5" s="8" t="inlineStr">
        <is>
          <t>WT-009</t>
        </is>
      </c>
      <c r="B5" s="8" t="inlineStr">
        <is>
          <t>P-WT-009</t>
        </is>
      </c>
      <c r="C5" s="8" t="inlineStr">
        <is>
          <t>30.G.002</t>
        </is>
      </c>
      <c r="D5" s="8" t="n">
        <v>1</v>
      </c>
      <c r="E5" s="8" t="inlineStr">
        <is>
          <t>30.G.002</t>
        </is>
      </c>
      <c r="F5" s="8" t="n"/>
    </row>
    <row r="6">
      <c r="A6" s="8" t="inlineStr">
        <is>
          <t>WT-020</t>
        </is>
      </c>
      <c r="B6" s="8" t="inlineStr">
        <is>
          <t>P-WT-020</t>
        </is>
      </c>
      <c r="C6" s="8" t="inlineStr">
        <is>
          <t>40.C</t>
        </is>
      </c>
      <c r="D6" s="8" t="n">
        <v>10</v>
      </c>
      <c r="E6" s="8" t="inlineStr">
        <is>
          <t>40.G.001</t>
        </is>
      </c>
      <c r="F6" s="8" t="n"/>
    </row>
    <row r="7">
      <c r="A7" s="8" t="inlineStr">
        <is>
          <t>WT-021</t>
        </is>
      </c>
      <c r="B7" s="8" t="inlineStr">
        <is>
          <t>P-WT-021</t>
        </is>
      </c>
      <c r="C7" s="8" t="inlineStr">
        <is>
          <t>50.G.001</t>
        </is>
      </c>
      <c r="D7" s="8" t="n">
        <v>1</v>
      </c>
      <c r="E7" s="8" t="inlineStr">
        <is>
          <t>50.G.001</t>
        </is>
      </c>
      <c r="F7" s="8" t="n"/>
    </row>
    <row r="8">
      <c r="A8" s="8" t="inlineStr">
        <is>
          <t>WT-026</t>
        </is>
      </c>
      <c r="B8" s="8" t="inlineStr">
        <is>
          <t>P-WT-026</t>
        </is>
      </c>
      <c r="C8" s="8" t="inlineStr">
        <is>
          <t>50.G.002</t>
        </is>
      </c>
      <c r="D8" s="8" t="n">
        <v>1</v>
      </c>
      <c r="E8" s="8" t="inlineStr">
        <is>
          <t>50.G.002</t>
        </is>
      </c>
      <c r="F8" s="8" t="n"/>
    </row>
    <row r="9">
      <c r="A9" s="8" t="inlineStr">
        <is>
          <t>WT-027</t>
        </is>
      </c>
      <c r="B9" s="8" t="inlineStr">
        <is>
          <t>P-WT-027</t>
        </is>
      </c>
      <c r="C9" s="8" t="inlineStr">
        <is>
          <t>50.G.003</t>
        </is>
      </c>
      <c r="D9" s="8" t="n">
        <v>1</v>
      </c>
      <c r="E9" s="8" t="inlineStr">
        <is>
          <t>50.G.003</t>
        </is>
      </c>
      <c r="F9" s="8" t="n"/>
    </row>
    <row r="10">
      <c r="A10" s="8" t="inlineStr">
        <is>
          <t>WT-031</t>
        </is>
      </c>
      <c r="B10" s="8" t="inlineStr">
        <is>
          <t>P-WT-031</t>
        </is>
      </c>
      <c r="C10" s="8" t="inlineStr">
        <is>
          <t>60.A</t>
        </is>
      </c>
      <c r="D10" s="8" t="n">
        <v>11</v>
      </c>
      <c r="E10" s="8" t="inlineStr">
        <is>
          <t>60.G.001</t>
        </is>
      </c>
      <c r="F10" s="8" t="n"/>
    </row>
    <row r="11">
      <c r="A11" s="8" t="inlineStr">
        <is>
          <t>WT-032</t>
        </is>
      </c>
      <c r="B11" s="8" t="inlineStr">
        <is>
          <t>P-WT-032</t>
        </is>
      </c>
      <c r="C11" s="8" t="inlineStr">
        <is>
          <t>60.B</t>
        </is>
      </c>
      <c r="D11" s="8" t="n">
        <v>10</v>
      </c>
      <c r="E11" s="8" t="inlineStr">
        <is>
          <t>60.G.002</t>
        </is>
      </c>
      <c r="F11" s="8" t="n"/>
    </row>
  </sheetData>
  <sheetProtection selectLockedCells="0" selectUnlockedCells="0" sheet="1" objects="0" insertRows="0" insertHyperlinks="1" autoFilter="0" scenarios="0" formatColumns="1" deleteColumns="1" insertColumns="1" pivotTables="1" deleteRows="1" formatCells="1" formatRows="1" sort="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8EA9DB"/>
    <outlinePr summaryBelow="1" summaryRight="1"/>
    <pageSetUpPr/>
  </sheetPr>
  <dimension ref="B1:C31"/>
  <sheetViews>
    <sheetView workbookViewId="0">
      <selection activeCell="A1" sqref="A1"/>
    </sheetView>
  </sheetViews>
  <sheetFormatPr baseColWidth="8" defaultRowHeight="15"/>
  <sheetData>
    <row r="1"/>
    <row r="2">
      <c r="B2" t="inlineStr">
        <is>
          <t>Iterations (n)</t>
        </is>
      </c>
      <c r="C2" s="23" t="n">
        <v>50000</v>
      </c>
    </row>
    <row r="3">
      <c r="B3" t="inlineStr">
        <is>
          <t>Random seed - legacy cost MC only (0=random; the deliverable's seed is SR9_SEED)</t>
        </is>
      </c>
      <c r="C3" s="23" t="n">
        <v>42</v>
      </c>
    </row>
    <row r="4">
      <c r="B4" t="inlineStr">
        <is>
          <t>Stakeholder view</t>
        </is>
      </c>
      <c r="C4" s="23" t="inlineStr">
        <is>
          <t>All</t>
        </is>
      </c>
    </row>
    <row r="5">
      <c r="B5" t="inlineStr">
        <is>
          <t>Reporting P-Level (pct)</t>
        </is>
      </c>
      <c r="C5" s="23" t="n">
        <v>80</v>
      </c>
    </row>
    <row r="6">
      <c r="B6" t="inlineStr">
        <is>
          <t>TIC - Total Installed Cost ($)</t>
        </is>
      </c>
      <c r="C6" s="23" t="n">
        <v>50000000</v>
      </c>
    </row>
    <row r="7">
      <c r="B7" t="inlineStr">
        <is>
          <t>Cascade enabled</t>
        </is>
      </c>
      <c r="C7" s="23" t="n">
        <v>1</v>
      </c>
    </row>
    <row r="8">
      <c r="B8" t="inlineStr">
        <is>
          <t>Cascade slip rate</t>
        </is>
      </c>
      <c r="C8" s="23" t="n">
        <v>1.5</v>
      </c>
    </row>
    <row r="9">
      <c r="B9" t="inlineStr">
        <is>
          <t>Cascade slip cap</t>
        </is>
      </c>
      <c r="C9" s="23" t="n">
        <v>3</v>
      </c>
    </row>
    <row r="10">
      <c r="B10" t="inlineStr">
        <is>
          <t>Cascade cost scale</t>
        </is>
      </c>
      <c r="C10" s="23" t="n">
        <v>0.5</v>
      </c>
    </row>
    <row r="11">
      <c r="B11" t="inlineStr">
        <is>
          <t>Chain 1 trigger - planning delay (months)</t>
        </is>
      </c>
      <c r="C11" s="23" t="n">
        <v>3</v>
      </c>
    </row>
    <row r="12">
      <c r="B12" t="inlineStr">
        <is>
          <t>Chain 1 - weather amplification factor</t>
        </is>
      </c>
      <c r="C12" s="23" t="n">
        <v>2.5</v>
      </c>
    </row>
    <row r="13">
      <c r="B13" t="inlineStr">
        <is>
          <t>Chain 2 trigger - site estab delay (weeks)</t>
        </is>
      </c>
      <c r="C13" s="23" t="n">
        <v>2</v>
      </c>
    </row>
    <row r="14">
      <c r="B14" t="inlineStr">
        <is>
          <t>Chain 2 - cascade factor</t>
        </is>
      </c>
      <c r="C14" s="23" t="n">
        <v>1.5</v>
      </c>
    </row>
    <row r="15">
      <c r="B15" t="inlineStr">
        <is>
          <t>day_rate ($/wd)</t>
        </is>
      </c>
      <c r="C15" s="24" t="n">
        <v>35000</v>
      </c>
    </row>
    <row r="16">
      <c r="B16" t="inlineStr">
        <is>
          <t>programme_seasons</t>
        </is>
      </c>
      <c r="C16" s="23" t="n">
        <v>1</v>
      </c>
    </row>
    <row r="17">
      <c r="B17" t="inlineStr">
        <is>
          <t>cp_hybrid_float_threshold_days</t>
        </is>
      </c>
      <c r="C17" s="23" t="n">
        <v>20</v>
      </c>
    </row>
    <row r="18">
      <c r="B18" t="inlineStr">
        <is>
          <t>schedule duration (weeks)</t>
        </is>
      </c>
      <c r="C18" s="23" t="n">
        <v>90</v>
      </c>
    </row>
    <row r="19">
      <c r="B19" t="inlineStr">
        <is>
          <t>expected_time_yes_count</t>
        </is>
      </c>
      <c r="C19" s="23" t="n">
        <v>10</v>
      </c>
    </row>
    <row r="20">
      <c r="B20" t="inlineStr">
        <is>
          <t>CG01 - Civil &amp; Earthworks</t>
        </is>
      </c>
      <c r="C20" s="23" t="n">
        <v>0.6</v>
      </c>
    </row>
    <row r="21">
      <c r="B21" t="inlineStr">
        <is>
          <t>CG01 capex base ($)</t>
        </is>
      </c>
      <c r="C21" s="23" t="n">
        <v>9000000</v>
      </c>
    </row>
    <row r="22">
      <c r="B22" t="inlineStr">
        <is>
          <t>CG02 - Turbine Supply &amp; Erection</t>
        </is>
      </c>
      <c r="C22" s="23" t="n">
        <v>0.5</v>
      </c>
    </row>
    <row r="23">
      <c r="B23" t="inlineStr">
        <is>
          <t>CG02 capex base ($)</t>
        </is>
      </c>
      <c r="C23" s="23" t="n">
        <v>22000000</v>
      </c>
    </row>
    <row r="24">
      <c r="B24" t="inlineStr">
        <is>
          <t>CG03 - Electrical Reticulation</t>
        </is>
      </c>
      <c r="C24" s="23" t="n">
        <v>0.5</v>
      </c>
    </row>
    <row r="25">
      <c r="B25" t="inlineStr">
        <is>
          <t>CG03 capex base ($)</t>
        </is>
      </c>
      <c r="C25" s="23" t="n">
        <v>5000000</v>
      </c>
    </row>
    <row r="26">
      <c r="B26" t="inlineStr">
        <is>
          <t>CG04 - Grid Connection</t>
        </is>
      </c>
      <c r="C26" s="23" t="n">
        <v>0.4</v>
      </c>
    </row>
    <row r="27">
      <c r="B27" t="inlineStr">
        <is>
          <t>CG04 capex base ($)</t>
        </is>
      </c>
      <c r="C27" s="23" t="n">
        <v>5000000</v>
      </c>
    </row>
    <row r="28">
      <c r="B28" t="inlineStr">
        <is>
          <t>CG05 - Balance of Plant / Substation</t>
        </is>
      </c>
      <c r="C28" s="23" t="n">
        <v>0.5</v>
      </c>
    </row>
    <row r="29">
      <c r="B29" t="inlineStr">
        <is>
          <t>CG05 capex base ($)</t>
        </is>
      </c>
      <c r="C29" s="23" t="n">
        <v>6000000</v>
      </c>
    </row>
    <row r="30">
      <c r="B30" t="inlineStr">
        <is>
          <t>CG06 - Commissioning &amp; Controls</t>
        </is>
      </c>
      <c r="C30" s="23" t="n">
        <v>0.4</v>
      </c>
    </row>
    <row r="31">
      <c r="B31" t="inlineStr">
        <is>
          <t>CG06 capex base ($)</t>
        </is>
      </c>
      <c r="C31" s="23" t="n">
        <v>3000000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5AE6FF"/>
    <outlinePr summaryBelow="1" summaryRight="1"/>
    <pageSetUpPr/>
  </sheetPr>
  <dimension ref="A1:B89"/>
  <sheetViews>
    <sheetView workbookViewId="0">
      <selection activeCell="A1" sqref="A1"/>
    </sheetView>
  </sheetViews>
  <sheetFormatPr baseColWidth="8" defaultRowHeight="15"/>
  <cols>
    <col width="34" customWidth="1" min="1" max="1"/>
    <col width="22" customWidth="1" min="2" max="2"/>
    <col width="20" customWidth="1" min="3" max="3"/>
    <col width="20" customWidth="1" min="4" max="4"/>
  </cols>
  <sheetData>
    <row r="1">
      <c r="A1" s="25" t="inlineStr">
        <is>
          <t>EMV &amp; Mode Analysis - Tropic Ridge Wind Farm</t>
        </is>
      </c>
    </row>
    <row r="2">
      <c r="A2" s="26" t="inlineStr">
        <is>
          <t>Deterministic Layer-1 expected values (means) from the register EMV columns, NOT Monte-Carlo P-levels. Live formulas; refresh on open.</t>
        </is>
      </c>
    </row>
    <row r="4">
      <c r="A4" s="27" t="inlineStr">
        <is>
          <t>Layer-1 totals</t>
        </is>
      </c>
    </row>
    <row r="5">
      <c r="A5" t="inlineStr">
        <is>
          <t>Total cost EMV ($)</t>
        </is>
      </c>
      <c r="B5">
        <f>SUM('Risk Register'!AB5:AB39)</f>
        <v/>
      </c>
    </row>
    <row r="6">
      <c r="A6" t="inlineStr">
        <is>
          <t>Total schedule EMV ($)</t>
        </is>
      </c>
      <c r="B6">
        <f>SUM('Risk Register'!AD5:AD39)</f>
        <v/>
      </c>
    </row>
    <row r="7">
      <c r="A7" t="inlineStr">
        <is>
          <t>Total Layer-1 EMV ($)</t>
        </is>
      </c>
      <c r="B7">
        <f>B5+B6</f>
        <v/>
      </c>
    </row>
    <row r="8">
      <c r="A8" t="inlineStr">
        <is>
          <t>Risks: Series / Hybrid / Parallel</t>
        </is>
      </c>
      <c r="B8">
        <f>COUNTIF('Risk Register'!Z5:Z39,"Series")&amp;" / "&amp;COUNTIF('Risk Register'!Z5:Z39,"Hybrid")&amp;" / "&amp;COUNTIF('Risk Register'!Z5:Z39,"Parallel")</f>
        <v/>
      </c>
    </row>
    <row r="11">
      <c r="A11" s="27" t="inlineStr">
        <is>
          <t>Risk</t>
        </is>
      </c>
      <c r="B11" s="27" t="inlineStr">
        <is>
          <t>Cost EMV ($)</t>
        </is>
      </c>
    </row>
    <row r="12">
      <c r="A12">
        <f>'Risk Register'!A5</f>
        <v/>
      </c>
      <c r="B12">
        <f>'Risk Register'!AB5</f>
        <v/>
      </c>
    </row>
    <row r="13">
      <c r="A13">
        <f>'Risk Register'!A6</f>
        <v/>
      </c>
      <c r="B13">
        <f>'Risk Register'!AB6</f>
        <v/>
      </c>
    </row>
    <row r="14">
      <c r="A14">
        <f>'Risk Register'!A7</f>
        <v/>
      </c>
      <c r="B14">
        <f>'Risk Register'!AB7</f>
        <v/>
      </c>
    </row>
    <row r="15">
      <c r="A15">
        <f>'Risk Register'!A8</f>
        <v/>
      </c>
      <c r="B15">
        <f>'Risk Register'!AB8</f>
        <v/>
      </c>
    </row>
    <row r="16">
      <c r="A16">
        <f>'Risk Register'!A9</f>
        <v/>
      </c>
      <c r="B16">
        <f>'Risk Register'!AB9</f>
        <v/>
      </c>
    </row>
    <row r="17">
      <c r="A17">
        <f>'Risk Register'!A10</f>
        <v/>
      </c>
      <c r="B17">
        <f>'Risk Register'!AB10</f>
        <v/>
      </c>
    </row>
    <row r="18">
      <c r="A18">
        <f>'Risk Register'!A11</f>
        <v/>
      </c>
      <c r="B18">
        <f>'Risk Register'!AB11</f>
        <v/>
      </c>
    </row>
    <row r="19">
      <c r="A19">
        <f>'Risk Register'!A12</f>
        <v/>
      </c>
      <c r="B19">
        <f>'Risk Register'!AB12</f>
        <v/>
      </c>
    </row>
    <row r="20">
      <c r="A20">
        <f>'Risk Register'!A13</f>
        <v/>
      </c>
      <c r="B20">
        <f>'Risk Register'!AB13</f>
        <v/>
      </c>
    </row>
    <row r="21">
      <c r="A21">
        <f>'Risk Register'!A14</f>
        <v/>
      </c>
      <c r="B21">
        <f>'Risk Register'!AB14</f>
        <v/>
      </c>
    </row>
    <row r="22">
      <c r="A22">
        <f>'Risk Register'!A15</f>
        <v/>
      </c>
      <c r="B22">
        <f>'Risk Register'!AB15</f>
        <v/>
      </c>
    </row>
    <row r="23">
      <c r="A23">
        <f>'Risk Register'!A16</f>
        <v/>
      </c>
      <c r="B23">
        <f>'Risk Register'!AB16</f>
        <v/>
      </c>
    </row>
    <row r="24">
      <c r="A24">
        <f>'Risk Register'!A17</f>
        <v/>
      </c>
      <c r="B24">
        <f>'Risk Register'!AB17</f>
        <v/>
      </c>
    </row>
    <row r="25">
      <c r="A25">
        <f>'Risk Register'!A18</f>
        <v/>
      </c>
      <c r="B25">
        <f>'Risk Register'!AB18</f>
        <v/>
      </c>
    </row>
    <row r="26">
      <c r="A26">
        <f>'Risk Register'!A19</f>
        <v/>
      </c>
      <c r="B26">
        <f>'Risk Register'!AB19</f>
        <v/>
      </c>
    </row>
    <row r="27">
      <c r="A27">
        <f>'Risk Register'!A20</f>
        <v/>
      </c>
      <c r="B27">
        <f>'Risk Register'!AB20</f>
        <v/>
      </c>
    </row>
    <row r="28">
      <c r="A28">
        <f>'Risk Register'!A21</f>
        <v/>
      </c>
      <c r="B28">
        <f>'Risk Register'!AB21</f>
        <v/>
      </c>
    </row>
    <row r="29">
      <c r="A29">
        <f>'Risk Register'!A22</f>
        <v/>
      </c>
      <c r="B29">
        <f>'Risk Register'!AB22</f>
        <v/>
      </c>
    </row>
    <row r="30">
      <c r="A30">
        <f>'Risk Register'!A23</f>
        <v/>
      </c>
      <c r="B30">
        <f>'Risk Register'!AB23</f>
        <v/>
      </c>
    </row>
    <row r="31">
      <c r="A31">
        <f>'Risk Register'!A24</f>
        <v/>
      </c>
      <c r="B31">
        <f>'Risk Register'!AB24</f>
        <v/>
      </c>
    </row>
    <row r="32">
      <c r="A32">
        <f>'Risk Register'!A25</f>
        <v/>
      </c>
      <c r="B32">
        <f>'Risk Register'!AB25</f>
        <v/>
      </c>
    </row>
    <row r="33">
      <c r="A33">
        <f>'Risk Register'!A26</f>
        <v/>
      </c>
      <c r="B33">
        <f>'Risk Register'!AB26</f>
        <v/>
      </c>
    </row>
    <row r="34">
      <c r="A34">
        <f>'Risk Register'!A27</f>
        <v/>
      </c>
      <c r="B34">
        <f>'Risk Register'!AB27</f>
        <v/>
      </c>
    </row>
    <row r="35">
      <c r="A35">
        <f>'Risk Register'!A28</f>
        <v/>
      </c>
      <c r="B35">
        <f>'Risk Register'!AB28</f>
        <v/>
      </c>
    </row>
    <row r="36">
      <c r="A36">
        <f>'Risk Register'!A29</f>
        <v/>
      </c>
      <c r="B36">
        <f>'Risk Register'!AB29</f>
        <v/>
      </c>
    </row>
    <row r="37">
      <c r="A37">
        <f>'Risk Register'!A30</f>
        <v/>
      </c>
      <c r="B37">
        <f>'Risk Register'!AB30</f>
        <v/>
      </c>
    </row>
    <row r="38">
      <c r="A38">
        <f>'Risk Register'!A31</f>
        <v/>
      </c>
      <c r="B38">
        <f>'Risk Register'!AB31</f>
        <v/>
      </c>
    </row>
    <row r="39">
      <c r="A39">
        <f>'Risk Register'!A32</f>
        <v/>
      </c>
      <c r="B39">
        <f>'Risk Register'!AB32</f>
        <v/>
      </c>
    </row>
    <row r="40">
      <c r="A40">
        <f>'Risk Register'!A33</f>
        <v/>
      </c>
      <c r="B40">
        <f>'Risk Register'!AB33</f>
        <v/>
      </c>
    </row>
    <row r="41">
      <c r="A41">
        <f>'Risk Register'!A34</f>
        <v/>
      </c>
      <c r="B41">
        <f>'Risk Register'!AB34</f>
        <v/>
      </c>
    </row>
    <row r="42">
      <c r="A42">
        <f>'Risk Register'!A35</f>
        <v/>
      </c>
      <c r="B42">
        <f>'Risk Register'!AB35</f>
        <v/>
      </c>
    </row>
    <row r="43">
      <c r="A43">
        <f>'Risk Register'!A36</f>
        <v/>
      </c>
      <c r="B43">
        <f>'Risk Register'!AB36</f>
        <v/>
      </c>
    </row>
    <row r="44">
      <c r="A44">
        <f>'Risk Register'!A37</f>
        <v/>
      </c>
      <c r="B44">
        <f>'Risk Register'!AB37</f>
        <v/>
      </c>
    </row>
    <row r="45">
      <c r="A45">
        <f>'Risk Register'!A38</f>
        <v/>
      </c>
      <c r="B45">
        <f>'Risk Register'!AB38</f>
        <v/>
      </c>
    </row>
    <row r="46">
      <c r="A46">
        <f>'Risk Register'!A39</f>
        <v/>
      </c>
      <c r="B46">
        <f>'Risk Register'!AB39</f>
        <v/>
      </c>
    </row>
    <row r="49">
      <c r="A49" s="27" t="inlineStr">
        <is>
          <t>Risk</t>
        </is>
      </c>
      <c r="B49" s="27" t="inlineStr">
        <is>
          <t>Schedule EMV ($)</t>
        </is>
      </c>
    </row>
    <row r="50">
      <c r="A50">
        <f>'Risk Register'!A5</f>
        <v/>
      </c>
      <c r="B50">
        <f>'Risk Register'!AD5</f>
        <v/>
      </c>
    </row>
    <row r="51">
      <c r="A51">
        <f>'Risk Register'!A6</f>
        <v/>
      </c>
      <c r="B51">
        <f>'Risk Register'!AD6</f>
        <v/>
      </c>
    </row>
    <row r="52">
      <c r="A52">
        <f>'Risk Register'!A7</f>
        <v/>
      </c>
      <c r="B52">
        <f>'Risk Register'!AD7</f>
        <v/>
      </c>
    </row>
    <row r="53">
      <c r="A53">
        <f>'Risk Register'!A8</f>
        <v/>
      </c>
      <c r="B53">
        <f>'Risk Register'!AD8</f>
        <v/>
      </c>
    </row>
    <row r="54">
      <c r="A54">
        <f>'Risk Register'!A9</f>
        <v/>
      </c>
      <c r="B54">
        <f>'Risk Register'!AD9</f>
        <v/>
      </c>
    </row>
    <row r="55">
      <c r="A55">
        <f>'Risk Register'!A10</f>
        <v/>
      </c>
      <c r="B55">
        <f>'Risk Register'!AD10</f>
        <v/>
      </c>
    </row>
    <row r="56">
      <c r="A56">
        <f>'Risk Register'!A11</f>
        <v/>
      </c>
      <c r="B56">
        <f>'Risk Register'!AD11</f>
        <v/>
      </c>
    </row>
    <row r="57">
      <c r="A57">
        <f>'Risk Register'!A12</f>
        <v/>
      </c>
      <c r="B57">
        <f>'Risk Register'!AD12</f>
        <v/>
      </c>
    </row>
    <row r="58">
      <c r="A58">
        <f>'Risk Register'!A13</f>
        <v/>
      </c>
      <c r="B58">
        <f>'Risk Register'!AD13</f>
        <v/>
      </c>
    </row>
    <row r="59">
      <c r="A59">
        <f>'Risk Register'!A14</f>
        <v/>
      </c>
      <c r="B59">
        <f>'Risk Register'!AD14</f>
        <v/>
      </c>
    </row>
    <row r="60">
      <c r="A60">
        <f>'Risk Register'!A15</f>
        <v/>
      </c>
      <c r="B60">
        <f>'Risk Register'!AD15</f>
        <v/>
      </c>
    </row>
    <row r="61">
      <c r="A61">
        <f>'Risk Register'!A16</f>
        <v/>
      </c>
      <c r="B61">
        <f>'Risk Register'!AD16</f>
        <v/>
      </c>
    </row>
    <row r="62">
      <c r="A62">
        <f>'Risk Register'!A17</f>
        <v/>
      </c>
      <c r="B62">
        <f>'Risk Register'!AD17</f>
        <v/>
      </c>
    </row>
    <row r="63">
      <c r="A63">
        <f>'Risk Register'!A18</f>
        <v/>
      </c>
      <c r="B63">
        <f>'Risk Register'!AD18</f>
        <v/>
      </c>
    </row>
    <row r="64">
      <c r="A64">
        <f>'Risk Register'!A19</f>
        <v/>
      </c>
      <c r="B64">
        <f>'Risk Register'!AD19</f>
        <v/>
      </c>
    </row>
    <row r="65">
      <c r="A65">
        <f>'Risk Register'!A20</f>
        <v/>
      </c>
      <c r="B65">
        <f>'Risk Register'!AD20</f>
        <v/>
      </c>
    </row>
    <row r="66">
      <c r="A66">
        <f>'Risk Register'!A21</f>
        <v/>
      </c>
      <c r="B66">
        <f>'Risk Register'!AD21</f>
        <v/>
      </c>
    </row>
    <row r="67">
      <c r="A67">
        <f>'Risk Register'!A22</f>
        <v/>
      </c>
      <c r="B67">
        <f>'Risk Register'!AD22</f>
        <v/>
      </c>
    </row>
    <row r="68">
      <c r="A68">
        <f>'Risk Register'!A23</f>
        <v/>
      </c>
      <c r="B68">
        <f>'Risk Register'!AD23</f>
        <v/>
      </c>
    </row>
    <row r="69">
      <c r="A69">
        <f>'Risk Register'!A24</f>
        <v/>
      </c>
      <c r="B69">
        <f>'Risk Register'!AD24</f>
        <v/>
      </c>
    </row>
    <row r="70">
      <c r="A70">
        <f>'Risk Register'!A25</f>
        <v/>
      </c>
      <c r="B70">
        <f>'Risk Register'!AD25</f>
        <v/>
      </c>
    </row>
    <row r="71">
      <c r="A71">
        <f>'Risk Register'!A26</f>
        <v/>
      </c>
      <c r="B71">
        <f>'Risk Register'!AD26</f>
        <v/>
      </c>
    </row>
    <row r="72">
      <c r="A72">
        <f>'Risk Register'!A27</f>
        <v/>
      </c>
      <c r="B72">
        <f>'Risk Register'!AD27</f>
        <v/>
      </c>
    </row>
    <row r="73">
      <c r="A73">
        <f>'Risk Register'!A28</f>
        <v/>
      </c>
      <c r="B73">
        <f>'Risk Register'!AD28</f>
        <v/>
      </c>
    </row>
    <row r="74">
      <c r="A74">
        <f>'Risk Register'!A29</f>
        <v/>
      </c>
      <c r="B74">
        <f>'Risk Register'!AD29</f>
        <v/>
      </c>
    </row>
    <row r="75">
      <c r="A75">
        <f>'Risk Register'!A30</f>
        <v/>
      </c>
      <c r="B75">
        <f>'Risk Register'!AD30</f>
        <v/>
      </c>
    </row>
    <row r="76">
      <c r="A76">
        <f>'Risk Register'!A31</f>
        <v/>
      </c>
      <c r="B76">
        <f>'Risk Register'!AD31</f>
        <v/>
      </c>
    </row>
    <row r="77">
      <c r="A77">
        <f>'Risk Register'!A32</f>
        <v/>
      </c>
      <c r="B77">
        <f>'Risk Register'!AD32</f>
        <v/>
      </c>
    </row>
    <row r="78">
      <c r="A78">
        <f>'Risk Register'!A33</f>
        <v/>
      </c>
      <c r="B78">
        <f>'Risk Register'!AD33</f>
        <v/>
      </c>
    </row>
    <row r="79">
      <c r="A79">
        <f>'Risk Register'!A34</f>
        <v/>
      </c>
      <c r="B79">
        <f>'Risk Register'!AD34</f>
        <v/>
      </c>
    </row>
    <row r="80">
      <c r="A80">
        <f>'Risk Register'!A35</f>
        <v/>
      </c>
      <c r="B80">
        <f>'Risk Register'!AD35</f>
        <v/>
      </c>
    </row>
    <row r="81">
      <c r="A81">
        <f>'Risk Register'!A36</f>
        <v/>
      </c>
      <c r="B81">
        <f>'Risk Register'!AD36</f>
        <v/>
      </c>
    </row>
    <row r="82">
      <c r="A82">
        <f>'Risk Register'!A37</f>
        <v/>
      </c>
      <c r="B82">
        <f>'Risk Register'!AD37</f>
        <v/>
      </c>
    </row>
    <row r="83">
      <c r="A83">
        <f>'Risk Register'!A38</f>
        <v/>
      </c>
      <c r="B83">
        <f>'Risk Register'!AD38</f>
        <v/>
      </c>
    </row>
    <row r="84">
      <c r="A84">
        <f>'Risk Register'!A39</f>
        <v/>
      </c>
      <c r="B84">
        <f>'Risk Register'!AD39</f>
        <v/>
      </c>
    </row>
    <row r="87">
      <c r="A87" s="27" t="inlineStr">
        <is>
          <t>Layer</t>
        </is>
      </c>
      <c r="B87" s="27" t="inlineStr">
        <is>
          <t>EMV ($)</t>
        </is>
      </c>
    </row>
    <row r="88">
      <c r="A88" t="inlineStr">
        <is>
          <t>Cost</t>
        </is>
      </c>
      <c r="B88">
        <f>B5</f>
        <v/>
      </c>
    </row>
    <row r="89">
      <c r="A89" t="inlineStr">
        <is>
          <t>Schedule</t>
        </is>
      </c>
      <c r="B89">
        <f>B6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  <pageSetup orientation="landscape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tabColor rgb="00C6E0B4"/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cols>
    <col width="22" customWidth="1" min="1" max="1"/>
  </cols>
  <sheetData>
    <row r="1">
      <c r="A1" s="8" t="inlineStr">
        <is>
          <t>WBS Row</t>
        </is>
      </c>
      <c r="B1" s="9" t="inlineStr">
        <is>
          <t>Staff</t>
        </is>
      </c>
      <c r="C1" s="9" t="inlineStr">
        <is>
          <t>Labour</t>
        </is>
      </c>
      <c r="D1" s="9" t="inlineStr">
        <is>
          <t>Plant</t>
        </is>
      </c>
      <c r="E1" s="9" t="inlineStr">
        <is>
          <t>Concrete</t>
        </is>
      </c>
      <c r="F1" s="9" t="inlineStr">
        <is>
          <t>Steel</t>
        </is>
      </c>
      <c r="G1" s="9" t="inlineStr">
        <is>
          <t>General</t>
        </is>
      </c>
      <c r="H1" s="9" t="inlineStr">
        <is>
          <t>Subcontract</t>
        </is>
      </c>
      <c r="I1" s="9" t="inlineStr">
        <is>
          <t>Provisional</t>
        </is>
      </c>
    </row>
    <row r="2">
      <c r="A2" s="9" t="inlineStr">
        <is>
          <t>Development &amp; approvals</t>
        </is>
      </c>
      <c r="B2" s="9" t="n">
        <v>1</v>
      </c>
      <c r="C2" s="9" t="n">
        <v>0</v>
      </c>
      <c r="D2" s="9" t="n">
        <v>0</v>
      </c>
      <c r="E2" s="9" t="n">
        <v>0</v>
      </c>
      <c r="F2" s="9" t="n">
        <v>0</v>
      </c>
      <c r="G2" s="9" t="n">
        <v>0.3</v>
      </c>
      <c r="H2" s="9" t="n">
        <v>0.2</v>
      </c>
      <c r="I2" s="9" t="n">
        <v>0</v>
      </c>
    </row>
    <row r="3">
      <c r="A3" s="9" t="inlineStr">
        <is>
          <t>Turbine supply</t>
        </is>
      </c>
      <c r="B3" s="9" t="n">
        <v>0</v>
      </c>
      <c r="C3" s="9" t="n">
        <v>0</v>
      </c>
      <c r="D3" s="9" t="n">
        <v>0</v>
      </c>
      <c r="E3" s="9" t="n">
        <v>0</v>
      </c>
      <c r="F3" s="9" t="n">
        <v>0</v>
      </c>
      <c r="G3" s="9" t="n">
        <v>0.5</v>
      </c>
      <c r="H3" s="9" t="n">
        <v>26.5</v>
      </c>
      <c r="I3" s="9" t="n">
        <v>1</v>
      </c>
    </row>
    <row r="4">
      <c r="A4" s="9" t="inlineStr">
        <is>
          <t>Turbine transport &amp; erection</t>
        </is>
      </c>
      <c r="B4" s="9" t="n">
        <v>0.2</v>
      </c>
      <c r="C4" s="9" t="n">
        <v>0.8</v>
      </c>
      <c r="D4" s="9" t="n">
        <v>1.2</v>
      </c>
      <c r="E4" s="9" t="n">
        <v>0</v>
      </c>
      <c r="F4" s="9" t="n">
        <v>0</v>
      </c>
      <c r="G4" s="9" t="n">
        <v>0</v>
      </c>
      <c r="H4" s="9" t="n">
        <v>0.8</v>
      </c>
      <c r="I4" s="9" t="n">
        <v>0</v>
      </c>
    </row>
    <row r="5">
      <c r="A5" s="9" t="inlineStr">
        <is>
          <t>BOP civils</t>
        </is>
      </c>
      <c r="B5" s="9" t="n">
        <v>0</v>
      </c>
      <c r="C5" s="9" t="n">
        <v>1.3</v>
      </c>
      <c r="D5" s="9" t="n">
        <v>1.2</v>
      </c>
      <c r="E5" s="9" t="n">
        <v>1.8</v>
      </c>
      <c r="F5" s="9" t="n">
        <v>0.7</v>
      </c>
      <c r="G5" s="9" t="n">
        <v>0.6</v>
      </c>
      <c r="H5" s="9" t="n">
        <v>0</v>
      </c>
      <c r="I5" s="9" t="n">
        <v>0.4</v>
      </c>
    </row>
    <row r="6">
      <c r="A6" s="9" t="inlineStr">
        <is>
          <t>Electrical BOP</t>
        </is>
      </c>
      <c r="B6" s="9" t="n">
        <v>0.2</v>
      </c>
      <c r="C6" s="9" t="n">
        <v>0.9</v>
      </c>
      <c r="D6" s="9" t="n">
        <v>0</v>
      </c>
      <c r="E6" s="9" t="n">
        <v>0</v>
      </c>
      <c r="F6" s="9" t="n">
        <v>0</v>
      </c>
      <c r="G6" s="9" t="n">
        <v>1.5</v>
      </c>
      <c r="H6" s="9" t="n">
        <v>0.9</v>
      </c>
      <c r="I6" s="9" t="n">
        <v>0</v>
      </c>
    </row>
    <row r="7">
      <c r="A7" s="9" t="inlineStr">
        <is>
          <t>Substation &amp; grid connection</t>
        </is>
      </c>
      <c r="B7" s="9" t="n">
        <v>0.3</v>
      </c>
      <c r="C7" s="9" t="n">
        <v>0</v>
      </c>
      <c r="D7" s="9" t="n">
        <v>0</v>
      </c>
      <c r="E7" s="9" t="n">
        <v>0</v>
      </c>
      <c r="F7" s="9" t="n">
        <v>0.6</v>
      </c>
      <c r="G7" s="9" t="n">
        <v>1.2</v>
      </c>
      <c r="H7" s="9" t="n">
        <v>2.5</v>
      </c>
      <c r="I7" s="9" t="n">
        <v>0.4</v>
      </c>
    </row>
    <row r="8">
      <c r="A8" s="9" t="inlineStr">
        <is>
          <t>Commissioning</t>
        </is>
      </c>
      <c r="B8" s="9" t="n">
        <v>0.4</v>
      </c>
      <c r="C8" s="9" t="n">
        <v>0</v>
      </c>
      <c r="D8" s="9" t="n">
        <v>0</v>
      </c>
      <c r="E8" s="9" t="n">
        <v>0</v>
      </c>
      <c r="F8" s="9" t="n">
        <v>0</v>
      </c>
      <c r="G8" s="9" t="n">
        <v>0.1</v>
      </c>
      <c r="H8" s="9" t="n">
        <v>0.5</v>
      </c>
      <c r="I8" s="9" t="n">
        <v>0</v>
      </c>
    </row>
    <row r="9">
      <c r="A9" s="9" t="inlineStr">
        <is>
          <t>Owners costs &amp; PM</t>
        </is>
      </c>
      <c r="B9" s="9" t="n">
        <v>1.8</v>
      </c>
      <c r="C9" s="9" t="n">
        <v>0</v>
      </c>
      <c r="D9" s="9" t="n">
        <v>0</v>
      </c>
      <c r="E9" s="9" t="n">
        <v>0</v>
      </c>
      <c r="F9" s="9" t="n">
        <v>0</v>
      </c>
      <c r="G9" s="9" t="n">
        <v>0.2</v>
      </c>
      <c r="H9" s="9" t="n">
        <v>0</v>
      </c>
      <c r="I9" s="9" t="n">
        <v>0</v>
      </c>
    </row>
    <row r="10">
      <c r="A10" s="8" t="n"/>
      <c r="B10" s="8" t="n"/>
      <c r="C10" s="8" t="n"/>
      <c r="D10" s="8" t="n"/>
      <c r="E10" s="8" t="n"/>
      <c r="F10" s="8" t="n"/>
      <c r="G10" s="8" t="n"/>
      <c r="H10" s="8" t="n"/>
      <c r="I10" s="8" t="n"/>
    </row>
    <row r="11">
      <c r="A11" s="8" t="inlineStr">
        <is>
          <t>Declared_Total ($M)</t>
        </is>
      </c>
      <c r="B11" s="9" t="n">
        <v>50</v>
      </c>
      <c r="C11" s="8" t="n"/>
      <c r="D11" s="8" t="n"/>
      <c r="E11" s="8" t="n"/>
      <c r="F11" s="8" t="n"/>
      <c r="G11" s="8" t="n"/>
      <c r="H11" s="8" t="n"/>
      <c r="I11" s="8" t="n"/>
    </row>
    <row r="12">
      <c r="A12" s="8" t="inlineStr">
        <is>
          <t>Units</t>
        </is>
      </c>
      <c r="B12" s="8" t="inlineStr">
        <is>
          <t>$M (read x 1,000,000 -&gt; dollars)</t>
        </is>
      </c>
      <c r="C12" s="8" t="n"/>
      <c r="D12" s="8" t="n"/>
      <c r="E12" s="8" t="n"/>
      <c r="F12" s="8" t="n"/>
      <c r="G12" s="8" t="n"/>
      <c r="H12" s="8" t="n"/>
      <c r="I12" s="8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C6E0B4"/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22" customWidth="1" min="1" max="1"/>
  </cols>
  <sheetData>
    <row r="1">
      <c r="A1" s="8" t="inlineStr">
        <is>
          <t>Factor</t>
        </is>
      </c>
      <c r="B1" s="8" t="inlineStr">
        <is>
          <t>Driver</t>
        </is>
      </c>
      <c r="C1" s="8" t="inlineStr">
        <is>
          <t>Opt_P10</t>
        </is>
      </c>
      <c r="D1" s="8" t="inlineStr">
        <is>
          <t>ML_mode</t>
        </is>
      </c>
      <c r="E1" s="8" t="inlineStr">
        <is>
          <t>P90</t>
        </is>
      </c>
      <c r="F1" s="8" t="inlineStr">
        <is>
          <t>Column_Scope</t>
        </is>
      </c>
    </row>
    <row r="2">
      <c r="A2" s="9" t="inlineStr">
        <is>
          <t>Provisions</t>
        </is>
      </c>
      <c r="B2" s="9" t="inlineStr">
        <is>
          <t>provisions</t>
        </is>
      </c>
      <c r="C2" s="9" t="n">
        <v>-0.5</v>
      </c>
      <c r="D2" s="9" t="n">
        <v>0</v>
      </c>
      <c r="E2" s="9" t="n">
        <v>0.3</v>
      </c>
      <c r="F2" s="9" t="inlineStr">
        <is>
          <t>Provisional</t>
        </is>
      </c>
    </row>
    <row r="3">
      <c r="A3" s="9" t="inlineStr">
        <is>
          <t>Duration</t>
        </is>
      </c>
      <c r="B3" s="9" t="inlineStr">
        <is>
          <t>duration</t>
        </is>
      </c>
      <c r="C3" s="9" t="n">
        <v>-0.05</v>
      </c>
      <c r="D3" s="9" t="n">
        <v>0</v>
      </c>
      <c r="E3" s="9" t="n">
        <v>0.15</v>
      </c>
      <c r="F3" s="9" t="inlineStr">
        <is>
          <t>ALL</t>
        </is>
      </c>
    </row>
    <row r="4">
      <c r="A4" s="9" t="inlineStr">
        <is>
          <t>Q_Civils</t>
        </is>
      </c>
      <c r="B4" s="9" t="inlineStr">
        <is>
          <t>civils_quantity</t>
        </is>
      </c>
      <c r="C4" s="9" t="n">
        <v>-0.08</v>
      </c>
      <c r="D4" s="9" t="n">
        <v>0</v>
      </c>
      <c r="E4" s="9" t="n">
        <v>0.2</v>
      </c>
      <c r="F4" s="9" t="inlineStr">
        <is>
          <t>ALL</t>
        </is>
      </c>
    </row>
    <row r="5">
      <c r="A5" s="9" t="inlineStr">
        <is>
          <t>Q_Elec</t>
        </is>
      </c>
      <c r="B5" s="9" t="inlineStr">
        <is>
          <t>elec_quantity</t>
        </is>
      </c>
      <c r="C5" s="9" t="n">
        <v>-0.05</v>
      </c>
      <c r="D5" s="9" t="n">
        <v>0</v>
      </c>
      <c r="E5" s="9" t="n">
        <v>0.15</v>
      </c>
      <c r="F5" s="9" t="inlineStr">
        <is>
          <t>ALL</t>
        </is>
      </c>
    </row>
    <row r="6">
      <c r="A6" s="9" t="inlineStr">
        <is>
          <t>Q_Grid</t>
        </is>
      </c>
      <c r="B6" s="9" t="inlineStr">
        <is>
          <t>grid_scope</t>
        </is>
      </c>
      <c r="C6" s="9" t="n">
        <v>-0.05</v>
      </c>
      <c r="D6" s="9" t="n">
        <v>0</v>
      </c>
      <c r="E6" s="9" t="n">
        <v>0.25</v>
      </c>
      <c r="F6" s="9" t="inlineStr">
        <is>
          <t>ALL</t>
        </is>
      </c>
    </row>
    <row r="7">
      <c r="A7" s="9" t="inlineStr">
        <is>
          <t>R_Turbine</t>
        </is>
      </c>
      <c r="B7" s="9" t="inlineStr">
        <is>
          <t>turbine_price</t>
        </is>
      </c>
      <c r="C7" s="9" t="n">
        <v>-0.05</v>
      </c>
      <c r="D7" s="9" t="n">
        <v>0</v>
      </c>
      <c r="E7" s="9" t="n">
        <v>0.12</v>
      </c>
      <c r="F7" s="9" t="inlineStr">
        <is>
          <t>ALL</t>
        </is>
      </c>
    </row>
    <row r="8">
      <c r="A8" s="9" t="inlineStr">
        <is>
          <t>FX</t>
        </is>
      </c>
      <c r="B8" s="9" t="inlineStr">
        <is>
          <t>fx</t>
        </is>
      </c>
      <c r="C8" s="9" t="n">
        <v>-0.06</v>
      </c>
      <c r="D8" s="9" t="n">
        <v>0</v>
      </c>
      <c r="E8" s="9" t="n">
        <v>0.1</v>
      </c>
      <c r="F8" s="9" t="inlineStr">
        <is>
          <t>Subcontract,General</t>
        </is>
      </c>
    </row>
    <row r="9">
      <c r="A9" s="9" t="inlineStr">
        <is>
          <t>R_Concrete</t>
        </is>
      </c>
      <c r="B9" s="9" t="inlineStr">
        <is>
          <t>concrete_rate</t>
        </is>
      </c>
      <c r="C9" s="9" t="n">
        <v>-0.05</v>
      </c>
      <c r="D9" s="9" t="n">
        <v>0</v>
      </c>
      <c r="E9" s="9" t="n">
        <v>0.15</v>
      </c>
      <c r="F9" s="9" t="inlineStr">
        <is>
          <t>Concrete</t>
        </is>
      </c>
    </row>
    <row r="10">
      <c r="A10" s="9" t="inlineStr">
        <is>
          <t>R_Steel</t>
        </is>
      </c>
      <c r="B10" s="9" t="inlineStr">
        <is>
          <t>steel_rate</t>
        </is>
      </c>
      <c r="C10" s="9" t="n">
        <v>-0.08</v>
      </c>
      <c r="D10" s="9" t="n">
        <v>0</v>
      </c>
      <c r="E10" s="9" t="n">
        <v>0.2</v>
      </c>
      <c r="F10" s="9" t="inlineStr">
        <is>
          <t>Steel</t>
        </is>
      </c>
    </row>
    <row r="11">
      <c r="A11" s="9" t="inlineStr">
        <is>
          <t>R_General</t>
        </is>
      </c>
      <c r="B11" s="9" t="inlineStr">
        <is>
          <t>general_rate</t>
        </is>
      </c>
      <c r="C11" s="9" t="n">
        <v>-0.05</v>
      </c>
      <c r="D11" s="9" t="n">
        <v>0</v>
      </c>
      <c r="E11" s="9" t="n">
        <v>0.12</v>
      </c>
      <c r="F11" s="9" t="inlineStr">
        <is>
          <t>General</t>
        </is>
      </c>
    </row>
    <row r="12">
      <c r="A12" s="9" t="inlineStr">
        <is>
          <t>R_Plant</t>
        </is>
      </c>
      <c r="B12" s="9" t="inlineStr">
        <is>
          <t>plant_rate</t>
        </is>
      </c>
      <c r="C12" s="9" t="n">
        <v>-0.05</v>
      </c>
      <c r="D12" s="9" t="n">
        <v>0</v>
      </c>
      <c r="E12" s="9" t="n">
        <v>0.12</v>
      </c>
      <c r="F12" s="9" t="inlineStr">
        <is>
          <t>Plant</t>
        </is>
      </c>
    </row>
    <row r="13">
      <c r="A13" s="9" t="inlineStr">
        <is>
          <t>R_Subcon</t>
        </is>
      </c>
      <c r="B13" s="9" t="inlineStr">
        <is>
          <t>subcon_rate</t>
        </is>
      </c>
      <c r="C13" s="9" t="n">
        <v>-0.04</v>
      </c>
      <c r="D13" s="9" t="n">
        <v>0</v>
      </c>
      <c r="E13" s="9" t="n">
        <v>0.1</v>
      </c>
      <c r="F13" s="9" t="inlineStr">
        <is>
          <t>Subcontract</t>
        </is>
      </c>
    </row>
    <row r="14">
      <c r="A14" s="9" t="inlineStr">
        <is>
          <t>R_Staff</t>
        </is>
      </c>
      <c r="B14" s="9" t="inlineStr">
        <is>
          <t>staff_rate</t>
        </is>
      </c>
      <c r="C14" s="9" t="n">
        <v>-0.03</v>
      </c>
      <c r="D14" s="9" t="n">
        <v>0</v>
      </c>
      <c r="E14" s="9" t="n">
        <v>0.08</v>
      </c>
      <c r="F14" s="9" t="inlineStr">
        <is>
          <t>Staff</t>
        </is>
      </c>
    </row>
    <row r="15">
      <c r="A15" s="9" t="inlineStr">
        <is>
          <t>R_Labour</t>
        </is>
      </c>
      <c r="B15" s="9" t="inlineStr">
        <is>
          <t>labour_rate</t>
        </is>
      </c>
      <c r="C15" s="9" t="n">
        <v>-0.04</v>
      </c>
      <c r="D15" s="9" t="n">
        <v>0</v>
      </c>
      <c r="E15" s="9" t="n">
        <v>0.12</v>
      </c>
      <c r="F15" s="9" t="inlineStr">
        <is>
          <t>Labour</t>
        </is>
      </c>
    </row>
  </sheetData>
  <sheetProtection selectLockedCells="0" selectUnlockedCells="0" sheet="1" objects="0" insertRows="0" insertHyperlinks="1" autoFilter="0" scenarios="0" formatColumns="1" deleteColumns="1" insertColumns="1" pivotTables="1" deleteRows="1" formatCells="1" formatRows="1" sort="0"/>
  <dataValidations count="1">
    <dataValidation sqref="A2:A100" showDropDown="0" showInputMessage="0" showErrorMessage="0" allowBlank="1" errorTitle="Invalid Factor" error="Choose from the Factor cascade list (edit it on the Lists tab)." type="list">
      <formula1>List_Factor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C6E0B4"/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22" customWidth="1" min="1" max="1"/>
  </cols>
  <sheetData>
    <row r="1">
      <c r="A1" s="8" t="inlineStr">
        <is>
          <t>Factor</t>
        </is>
      </c>
      <c r="B1" s="9" t="inlineStr">
        <is>
          <t>Development &amp; approvals</t>
        </is>
      </c>
      <c r="C1" s="9" t="inlineStr">
        <is>
          <t>Turbine supply</t>
        </is>
      </c>
      <c r="D1" s="9" t="inlineStr">
        <is>
          <t>Turbine transport &amp; erection</t>
        </is>
      </c>
      <c r="E1" s="9" t="inlineStr">
        <is>
          <t>BOP civils</t>
        </is>
      </c>
      <c r="F1" s="9" t="inlineStr">
        <is>
          <t>Electrical BOP</t>
        </is>
      </c>
      <c r="G1" s="9" t="inlineStr">
        <is>
          <t>Substation &amp; grid connection</t>
        </is>
      </c>
      <c r="H1" s="9" t="inlineStr">
        <is>
          <t>Commissioning</t>
        </is>
      </c>
      <c r="I1" s="9" t="inlineStr">
        <is>
          <t>Owners costs &amp; PM</t>
        </is>
      </c>
    </row>
    <row r="2">
      <c r="A2" s="9" t="inlineStr">
        <is>
          <t>Provisions</t>
        </is>
      </c>
      <c r="B2" s="9" t="inlineStr">
        <is>
          <t>x</t>
        </is>
      </c>
      <c r="C2" s="9" t="inlineStr">
        <is>
          <t>x</t>
        </is>
      </c>
      <c r="D2" s="9" t="inlineStr">
        <is>
          <t>x</t>
        </is>
      </c>
      <c r="E2" s="9" t="inlineStr">
        <is>
          <t>x</t>
        </is>
      </c>
      <c r="F2" s="9" t="inlineStr">
        <is>
          <t>x</t>
        </is>
      </c>
      <c r="G2" s="9" t="inlineStr">
        <is>
          <t>x</t>
        </is>
      </c>
      <c r="H2" s="9" t="inlineStr">
        <is>
          <t>x</t>
        </is>
      </c>
      <c r="I2" s="9" t="inlineStr">
        <is>
          <t>x</t>
        </is>
      </c>
    </row>
    <row r="3">
      <c r="A3" s="9" t="inlineStr">
        <is>
          <t>Duration</t>
        </is>
      </c>
      <c r="B3" s="9" t="n"/>
      <c r="C3" s="9" t="n"/>
      <c r="D3" s="9" t="inlineStr">
        <is>
          <t>x</t>
        </is>
      </c>
      <c r="E3" s="9" t="n"/>
      <c r="F3" s="9" t="n"/>
      <c r="G3" s="9" t="n"/>
      <c r="H3" s="9" t="inlineStr">
        <is>
          <t>x</t>
        </is>
      </c>
      <c r="I3" s="9" t="inlineStr">
        <is>
          <t>x</t>
        </is>
      </c>
    </row>
    <row r="4">
      <c r="A4" s="9" t="inlineStr">
        <is>
          <t>Q_Civils</t>
        </is>
      </c>
      <c r="B4" s="9" t="n"/>
      <c r="C4" s="9" t="n"/>
      <c r="D4" s="9" t="n"/>
      <c r="E4" s="9" t="inlineStr">
        <is>
          <t>x</t>
        </is>
      </c>
      <c r="F4" s="9" t="n"/>
      <c r="G4" s="9" t="n"/>
      <c r="H4" s="9" t="n"/>
      <c r="I4" s="9" t="n"/>
    </row>
    <row r="5">
      <c r="A5" s="9" t="inlineStr">
        <is>
          <t>Q_Elec</t>
        </is>
      </c>
      <c r="B5" s="9" t="n"/>
      <c r="C5" s="9" t="n"/>
      <c r="D5" s="9" t="n"/>
      <c r="E5" s="9" t="n"/>
      <c r="F5" s="9" t="inlineStr">
        <is>
          <t>x</t>
        </is>
      </c>
      <c r="G5" s="9" t="n"/>
      <c r="H5" s="9" t="n"/>
      <c r="I5" s="9" t="n"/>
    </row>
    <row r="6">
      <c r="A6" s="9" t="inlineStr">
        <is>
          <t>Q_Grid</t>
        </is>
      </c>
      <c r="B6" s="9" t="n"/>
      <c r="C6" s="9" t="n"/>
      <c r="D6" s="9" t="n"/>
      <c r="E6" s="9" t="n"/>
      <c r="F6" s="9" t="n"/>
      <c r="G6" s="9" t="inlineStr">
        <is>
          <t>x</t>
        </is>
      </c>
      <c r="H6" s="9" t="n"/>
      <c r="I6" s="9" t="n"/>
    </row>
    <row r="7">
      <c r="A7" s="9" t="inlineStr">
        <is>
          <t>R_Turbine</t>
        </is>
      </c>
      <c r="B7" s="9" t="n"/>
      <c r="C7" s="9" t="inlineStr">
        <is>
          <t>x</t>
        </is>
      </c>
      <c r="D7" s="9" t="n"/>
      <c r="E7" s="9" t="n"/>
      <c r="F7" s="9" t="n"/>
      <c r="G7" s="9" t="n"/>
      <c r="H7" s="9" t="n"/>
      <c r="I7" s="9" t="n"/>
    </row>
    <row r="8">
      <c r="A8" s="9" t="inlineStr">
        <is>
          <t>FX</t>
        </is>
      </c>
      <c r="B8" s="9" t="n"/>
      <c r="C8" s="9" t="inlineStr">
        <is>
          <t>x</t>
        </is>
      </c>
      <c r="D8" s="9" t="n"/>
      <c r="E8" s="9" t="n"/>
      <c r="F8" s="9" t="inlineStr">
        <is>
          <t>x</t>
        </is>
      </c>
      <c r="G8" s="9" t="n"/>
      <c r="H8" s="9" t="n"/>
      <c r="I8" s="9" t="n"/>
    </row>
    <row r="9">
      <c r="A9" s="9" t="inlineStr">
        <is>
          <t>R_Concrete</t>
        </is>
      </c>
      <c r="B9" s="9" t="inlineStr">
        <is>
          <t>x</t>
        </is>
      </c>
      <c r="C9" s="9" t="inlineStr">
        <is>
          <t>x</t>
        </is>
      </c>
      <c r="D9" s="9" t="inlineStr">
        <is>
          <t>x</t>
        </is>
      </c>
      <c r="E9" s="9" t="inlineStr">
        <is>
          <t>x</t>
        </is>
      </c>
      <c r="F9" s="9" t="inlineStr">
        <is>
          <t>x</t>
        </is>
      </c>
      <c r="G9" s="9" t="inlineStr">
        <is>
          <t>x</t>
        </is>
      </c>
      <c r="H9" s="9" t="inlineStr">
        <is>
          <t>x</t>
        </is>
      </c>
      <c r="I9" s="9" t="inlineStr">
        <is>
          <t>x</t>
        </is>
      </c>
    </row>
    <row r="10">
      <c r="A10" s="9" t="inlineStr">
        <is>
          <t>R_Steel</t>
        </is>
      </c>
      <c r="B10" s="9" t="inlineStr">
        <is>
          <t>x</t>
        </is>
      </c>
      <c r="C10" s="9" t="inlineStr">
        <is>
          <t>x</t>
        </is>
      </c>
      <c r="D10" s="9" t="inlineStr">
        <is>
          <t>x</t>
        </is>
      </c>
      <c r="E10" s="9" t="inlineStr">
        <is>
          <t>x</t>
        </is>
      </c>
      <c r="F10" s="9" t="inlineStr">
        <is>
          <t>x</t>
        </is>
      </c>
      <c r="G10" s="9" t="inlineStr">
        <is>
          <t>x</t>
        </is>
      </c>
      <c r="H10" s="9" t="inlineStr">
        <is>
          <t>x</t>
        </is>
      </c>
      <c r="I10" s="9" t="inlineStr">
        <is>
          <t>x</t>
        </is>
      </c>
    </row>
    <row r="11">
      <c r="A11" s="9" t="inlineStr">
        <is>
          <t>R_General</t>
        </is>
      </c>
      <c r="B11" s="9" t="inlineStr">
        <is>
          <t>x</t>
        </is>
      </c>
      <c r="C11" s="9" t="inlineStr">
        <is>
          <t>x</t>
        </is>
      </c>
      <c r="D11" s="9" t="inlineStr">
        <is>
          <t>x</t>
        </is>
      </c>
      <c r="E11" s="9" t="inlineStr">
        <is>
          <t>x</t>
        </is>
      </c>
      <c r="F11" s="9" t="inlineStr">
        <is>
          <t>x</t>
        </is>
      </c>
      <c r="G11" s="9" t="inlineStr">
        <is>
          <t>x</t>
        </is>
      </c>
      <c r="H11" s="9" t="inlineStr">
        <is>
          <t>x</t>
        </is>
      </c>
      <c r="I11" s="9" t="inlineStr">
        <is>
          <t>x</t>
        </is>
      </c>
    </row>
    <row r="12">
      <c r="A12" s="9" t="inlineStr">
        <is>
          <t>R_Plant</t>
        </is>
      </c>
      <c r="B12" s="9" t="inlineStr">
        <is>
          <t>x</t>
        </is>
      </c>
      <c r="C12" s="9" t="inlineStr">
        <is>
          <t>x</t>
        </is>
      </c>
      <c r="D12" s="9" t="inlineStr">
        <is>
          <t>x</t>
        </is>
      </c>
      <c r="E12" s="9" t="inlineStr">
        <is>
          <t>x</t>
        </is>
      </c>
      <c r="F12" s="9" t="inlineStr">
        <is>
          <t>x</t>
        </is>
      </c>
      <c r="G12" s="9" t="inlineStr">
        <is>
          <t>x</t>
        </is>
      </c>
      <c r="H12" s="9" t="inlineStr">
        <is>
          <t>x</t>
        </is>
      </c>
      <c r="I12" s="9" t="inlineStr">
        <is>
          <t>x</t>
        </is>
      </c>
    </row>
    <row r="13">
      <c r="A13" s="9" t="inlineStr">
        <is>
          <t>R_Subcon</t>
        </is>
      </c>
      <c r="B13" s="9" t="inlineStr">
        <is>
          <t>x</t>
        </is>
      </c>
      <c r="C13" s="9" t="n"/>
      <c r="D13" s="9" t="inlineStr">
        <is>
          <t>x</t>
        </is>
      </c>
      <c r="E13" s="9" t="n"/>
      <c r="F13" s="9" t="inlineStr">
        <is>
          <t>x</t>
        </is>
      </c>
      <c r="G13" s="9" t="inlineStr">
        <is>
          <t>x</t>
        </is>
      </c>
      <c r="H13" s="9" t="inlineStr">
        <is>
          <t>x</t>
        </is>
      </c>
      <c r="I13" s="9" t="n"/>
    </row>
    <row r="14">
      <c r="A14" s="9" t="inlineStr">
        <is>
          <t>R_Staff</t>
        </is>
      </c>
      <c r="B14" s="9" t="inlineStr">
        <is>
          <t>x</t>
        </is>
      </c>
      <c r="C14" s="9" t="inlineStr">
        <is>
          <t>x</t>
        </is>
      </c>
      <c r="D14" s="9" t="inlineStr">
        <is>
          <t>x</t>
        </is>
      </c>
      <c r="E14" s="9" t="inlineStr">
        <is>
          <t>x</t>
        </is>
      </c>
      <c r="F14" s="9" t="inlineStr">
        <is>
          <t>x</t>
        </is>
      </c>
      <c r="G14" s="9" t="inlineStr">
        <is>
          <t>x</t>
        </is>
      </c>
      <c r="H14" s="9" t="inlineStr">
        <is>
          <t>x</t>
        </is>
      </c>
      <c r="I14" s="9" t="inlineStr">
        <is>
          <t>x</t>
        </is>
      </c>
    </row>
    <row r="15">
      <c r="A15" s="9" t="inlineStr">
        <is>
          <t>R_Labour</t>
        </is>
      </c>
      <c r="B15" s="9" t="inlineStr">
        <is>
          <t>x</t>
        </is>
      </c>
      <c r="C15" s="9" t="inlineStr">
        <is>
          <t>x</t>
        </is>
      </c>
      <c r="D15" s="9" t="inlineStr">
        <is>
          <t>x</t>
        </is>
      </c>
      <c r="E15" s="9" t="inlineStr">
        <is>
          <t>x</t>
        </is>
      </c>
      <c r="F15" s="9" t="inlineStr">
        <is>
          <t>x</t>
        </is>
      </c>
      <c r="G15" s="9" t="inlineStr">
        <is>
          <t>x</t>
        </is>
      </c>
      <c r="H15" s="9" t="inlineStr">
        <is>
          <t>x</t>
        </is>
      </c>
      <c r="I15" s="9" t="inlineStr">
        <is>
          <t>x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C6E0B4"/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22" customWidth="1" min="1" max="1"/>
  </cols>
  <sheetData>
    <row r="1">
      <c r="A1" s="8" t="inlineStr">
        <is>
          <t>Corr_Mode</t>
        </is>
      </c>
      <c r="B1" s="9" t="inlineStr">
        <is>
          <t>elicited</t>
        </is>
      </c>
      <c r="C1" s="8" t="inlineStr">
        <is>
          <t>(zero | elicited | one)</t>
        </is>
      </c>
      <c r="D1" s="8" t="n"/>
      <c r="E1" s="8" t="n"/>
      <c r="F1" s="8" t="n"/>
      <c r="G1" s="8" t="n"/>
      <c r="H1" s="8" t="n"/>
    </row>
    <row r="2">
      <c r="A2" s="8" t="inlineStr">
        <is>
          <t>PSD_Status</t>
        </is>
      </c>
      <c r="B2" s="8" t="inlineStr">
        <is>
          <t>valid</t>
        </is>
      </c>
      <c r="C2" s="8" t="inlineStr">
        <is>
          <t>(reader recomputes via Corr_flag)</t>
        </is>
      </c>
      <c r="D2" s="8" t="n"/>
      <c r="E2" s="8" t="n"/>
      <c r="F2" s="8" t="n"/>
      <c r="G2" s="8" t="n"/>
      <c r="H2" s="8" t="n"/>
    </row>
    <row r="3">
      <c r="A3" s="8" t="n"/>
      <c r="B3" s="8" t="n"/>
      <c r="C3" s="8" t="n"/>
      <c r="D3" s="8" t="n"/>
      <c r="E3" s="8" t="n"/>
      <c r="F3" s="8" t="n"/>
      <c r="G3" s="8" t="n"/>
      <c r="H3" s="8" t="n"/>
    </row>
    <row r="4">
      <c r="A4" s="28" t="inlineStr">
        <is>
          <t>Factor</t>
        </is>
      </c>
      <c r="B4" s="28" t="inlineStr">
        <is>
          <t>R_Turbine</t>
        </is>
      </c>
      <c r="C4" s="28" t="inlineStr">
        <is>
          <t>FX</t>
        </is>
      </c>
      <c r="D4" s="28" t="inlineStr">
        <is>
          <t>R_Concrete</t>
        </is>
      </c>
      <c r="E4" s="28" t="inlineStr">
        <is>
          <t>R_Steel</t>
        </is>
      </c>
      <c r="F4" s="28" t="inlineStr">
        <is>
          <t>R_General</t>
        </is>
      </c>
      <c r="G4" s="28" t="inlineStr">
        <is>
          <t>R_Plant</t>
        </is>
      </c>
      <c r="H4" s="28" t="inlineStr">
        <is>
          <t>R_Subcon</t>
        </is>
      </c>
    </row>
    <row r="5">
      <c r="A5" s="28" t="inlineStr">
        <is>
          <t>R_Turbine</t>
        </is>
      </c>
      <c r="B5" s="29" t="n">
        <v>1</v>
      </c>
      <c r="C5" s="30" t="n"/>
      <c r="D5" s="30" t="n"/>
      <c r="E5" s="30" t="n"/>
      <c r="F5" s="30" t="n"/>
      <c r="G5" s="30" t="n"/>
      <c r="H5" s="30" t="n"/>
    </row>
    <row r="6">
      <c r="A6" s="28" t="inlineStr">
        <is>
          <t>FX</t>
        </is>
      </c>
      <c r="B6" s="31" t="n">
        <v>0.3</v>
      </c>
      <c r="C6" s="29" t="n">
        <v>1</v>
      </c>
      <c r="D6" s="30" t="n"/>
      <c r="E6" s="30" t="n"/>
      <c r="F6" s="30" t="n"/>
      <c r="G6" s="30" t="n"/>
      <c r="H6" s="30" t="n"/>
    </row>
    <row r="7">
      <c r="A7" s="28" t="inlineStr">
        <is>
          <t>R_Concrete</t>
        </is>
      </c>
      <c r="B7" s="31" t="n">
        <v>0.3</v>
      </c>
      <c r="C7" s="31" t="n">
        <v>0.1</v>
      </c>
      <c r="D7" s="29" t="n">
        <v>1</v>
      </c>
      <c r="E7" s="30" t="n"/>
      <c r="F7" s="30" t="n"/>
      <c r="G7" s="30" t="n"/>
      <c r="H7" s="30" t="n"/>
    </row>
    <row r="8">
      <c r="A8" s="28" t="inlineStr">
        <is>
          <t>R_Steel</t>
        </is>
      </c>
      <c r="B8" s="31" t="n">
        <v>0.4</v>
      </c>
      <c r="C8" s="31" t="n">
        <v>0.2</v>
      </c>
      <c r="D8" s="31" t="n">
        <v>0.5</v>
      </c>
      <c r="E8" s="29" t="n">
        <v>1</v>
      </c>
      <c r="F8" s="30" t="n"/>
      <c r="G8" s="30" t="n"/>
      <c r="H8" s="30" t="n"/>
    </row>
    <row r="9">
      <c r="A9" s="28" t="inlineStr">
        <is>
          <t>R_General</t>
        </is>
      </c>
      <c r="B9" s="31" t="n">
        <v>0.3</v>
      </c>
      <c r="C9" s="31" t="n">
        <v>0.3</v>
      </c>
      <c r="D9" s="31" t="n">
        <v>0.4</v>
      </c>
      <c r="E9" s="31" t="n">
        <v>0.4</v>
      </c>
      <c r="F9" s="29" t="n">
        <v>1</v>
      </c>
      <c r="G9" s="30" t="n"/>
      <c r="H9" s="30" t="n"/>
    </row>
    <row r="10">
      <c r="A10" s="28" t="inlineStr">
        <is>
          <t>R_Plant</t>
        </is>
      </c>
      <c r="B10" s="31" t="n">
        <v>0.2</v>
      </c>
      <c r="C10" s="31" t="n">
        <v>0.1</v>
      </c>
      <c r="D10" s="31" t="n">
        <v>0.3</v>
      </c>
      <c r="E10" s="31" t="n">
        <v>0.3</v>
      </c>
      <c r="F10" s="31" t="n">
        <v>0.3</v>
      </c>
      <c r="G10" s="29" t="n">
        <v>1</v>
      </c>
      <c r="H10" s="30" t="n"/>
    </row>
    <row r="11">
      <c r="A11" s="28" t="inlineStr">
        <is>
          <t>R_Subcon</t>
        </is>
      </c>
      <c r="B11" s="31" t="n">
        <v>0.2</v>
      </c>
      <c r="C11" s="31" t="n">
        <v>0.1</v>
      </c>
      <c r="D11" s="31" t="n">
        <v>0.3</v>
      </c>
      <c r="E11" s="31" t="n">
        <v>0.3</v>
      </c>
      <c r="F11" s="31" t="n">
        <v>0.4</v>
      </c>
      <c r="G11" s="31" t="n">
        <v>0.3</v>
      </c>
      <c r="H11" s="29" t="n">
        <v>1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conditionalFormatting sqref="B5:H11">
    <cfRule type="colorScale" priority="1">
      <colorScale>
        <cfvo type="num" val="0"/>
        <cfvo type="num" val="1"/>
        <color rgb="FFFFFFFF"/>
        <color rgb="FF5B9BD5"/>
      </colorScale>
    </cfRule>
  </conditionalFormatting>
  <dataValidations count="1">
    <dataValidation sqref="A5:A100" showDropDown="0" showInputMessage="0" showErrorMessage="0" allowBlank="1" errorTitle="Invalid Factor" error="Choose from the Factor cascade list (edit it on the Lists tab)." type="list">
      <formula1>List_Factor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8EA9DB"/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18" customWidth="1" min="1" max="1"/>
    <col width="24" customWidth="1" min="2" max="2"/>
    <col width="34" customWidth="1" min="3" max="3"/>
  </cols>
  <sheetData>
    <row r="1">
      <c r="A1" s="8" t="inlineStr">
        <is>
          <t>CG code / Mode</t>
        </is>
      </c>
      <c r="B1" s="8" t="inlineStr">
        <is>
          <t>Coefficient / Multiplier</t>
        </is>
      </c>
      <c r="C1" s="8" t="inlineStr">
        <is>
          <t>Description</t>
        </is>
      </c>
    </row>
    <row r="2">
      <c r="A2" s="8" t="inlineStr">
        <is>
          <t>CG01</t>
        </is>
      </c>
      <c r="B2" s="31" t="n">
        <v>0.6</v>
      </c>
      <c r="C2" s="9" t="inlineStr">
        <is>
          <t>Civil &amp; Earthworks</t>
        </is>
      </c>
    </row>
    <row r="3">
      <c r="A3" s="8" t="inlineStr">
        <is>
          <t>CG02</t>
        </is>
      </c>
      <c r="B3" s="31" t="n">
        <v>0.5</v>
      </c>
      <c r="C3" s="9" t="inlineStr">
        <is>
          <t>Turbine Supply &amp; Erection</t>
        </is>
      </c>
    </row>
    <row r="4">
      <c r="A4" s="8" t="inlineStr">
        <is>
          <t>CG03</t>
        </is>
      </c>
      <c r="B4" s="31" t="n">
        <v>0.5</v>
      </c>
      <c r="C4" s="9" t="inlineStr">
        <is>
          <t>Electrical Reticulation</t>
        </is>
      </c>
    </row>
    <row r="5">
      <c r="A5" s="8" t="inlineStr">
        <is>
          <t>CG04</t>
        </is>
      </c>
      <c r="B5" s="31" t="n">
        <v>0.4</v>
      </c>
      <c r="C5" s="9" t="inlineStr">
        <is>
          <t>Grid Connection</t>
        </is>
      </c>
    </row>
    <row r="6">
      <c r="A6" s="8" t="inlineStr">
        <is>
          <t>CG05</t>
        </is>
      </c>
      <c r="B6" s="31" t="n">
        <v>0.5</v>
      </c>
      <c r="C6" s="9" t="inlineStr">
        <is>
          <t>Balance of Plant / Substation</t>
        </is>
      </c>
    </row>
    <row r="7">
      <c r="A7" s="8" t="inlineStr">
        <is>
          <t>CG06</t>
        </is>
      </c>
      <c r="B7" s="31" t="n">
        <v>0.5</v>
      </c>
      <c r="C7" s="9" t="inlineStr">
        <is>
          <t>Commissioning &amp; Controls</t>
        </is>
      </c>
    </row>
    <row r="8">
      <c r="A8" s="8" t="inlineStr">
        <is>
          <t>CG07</t>
        </is>
      </c>
      <c r="B8" s="31" t="n">
        <v>0.4</v>
      </c>
      <c r="C8" s="9" t="n"/>
    </row>
    <row r="9">
      <c r="A9" s="8" t="inlineStr">
        <is>
          <t>CG08</t>
        </is>
      </c>
      <c r="B9" s="31" t="n">
        <v>0.4</v>
      </c>
      <c r="C9" s="9" t="n"/>
    </row>
    <row r="10">
      <c r="A10" s="8" t="inlineStr">
        <is>
          <t>CG09</t>
        </is>
      </c>
      <c r="B10" s="31" t="n">
        <v>0.4</v>
      </c>
      <c r="C10" s="9" t="n"/>
    </row>
    <row r="11">
      <c r="A11" s="8" t="inlineStr">
        <is>
          <t>CG10</t>
        </is>
      </c>
      <c r="B11" s="31" t="n">
        <v>0.4</v>
      </c>
      <c r="C11" s="9" t="n"/>
    </row>
    <row r="12">
      <c r="A12" s="8" t="inlineStr">
        <is>
          <t>CG11</t>
        </is>
      </c>
      <c r="B12" s="31" t="n">
        <v>0.5</v>
      </c>
      <c r="C12" s="9" t="n"/>
    </row>
    <row r="13">
      <c r="A13" s="8" t="inlineStr">
        <is>
          <t>CG12</t>
        </is>
      </c>
      <c r="B13" s="31" t="n">
        <v>0.5</v>
      </c>
      <c r="C13" s="9" t="n"/>
    </row>
    <row r="14">
      <c r="A14" s="8" t="inlineStr">
        <is>
          <t>CG13</t>
        </is>
      </c>
      <c r="B14" s="31" t="n">
        <v>0.5</v>
      </c>
      <c r="C14" s="9" t="n"/>
    </row>
    <row r="15">
      <c r="A15" s="8" t="inlineStr">
        <is>
          <t>Series</t>
        </is>
      </c>
      <c r="B15" s="32" t="n">
        <v>1</v>
      </c>
      <c r="C15" s="8" t="n"/>
    </row>
    <row r="16">
      <c r="A16" s="8" t="inlineStr">
        <is>
          <t>Hybrid</t>
        </is>
      </c>
      <c r="B16" s="32" t="n">
        <v>0.5</v>
      </c>
      <c r="C16" s="8" t="n"/>
    </row>
    <row r="17">
      <c r="A17" s="8" t="inlineStr">
        <is>
          <t>Parallel</t>
        </is>
      </c>
      <c r="B17" s="32" t="n">
        <v>0</v>
      </c>
      <c r="C17" s="8" t="n"/>
    </row>
    <row r="18">
      <c r="A18" s="8" t="inlineStr">
        <is>
          <t>Cost_Calibration_Tolerance_Dollars</t>
        </is>
      </c>
      <c r="B18" s="31" t="n">
        <v>50000</v>
      </c>
      <c r="C18" s="9" t="inlineStr">
        <is>
          <t>Cost cross-check: absolute tolerance ($)</t>
        </is>
      </c>
    </row>
    <row r="19">
      <c r="A19" s="8" t="inlineStr">
        <is>
          <t>Cost_Calibration_Tolerance_Pct</t>
        </is>
      </c>
      <c r="B19" s="31" t="n">
        <v>0.001</v>
      </c>
      <c r="C19" s="9" t="inlineStr">
        <is>
          <t>Cost cross-check: relative tolerance (fraction)</t>
        </is>
      </c>
    </row>
    <row r="20">
      <c r="A20" s="8" t="inlineStr">
        <is>
          <t>Schedule_Calibration_Tolerance_Days</t>
        </is>
      </c>
      <c r="B20" s="31" t="n">
        <v>1</v>
      </c>
      <c r="C20" s="9" t="inlineStr">
        <is>
          <t>Schedule cross-check: absolute tolerance (days)</t>
        </is>
      </c>
    </row>
    <row r="21">
      <c r="A21" s="8" t="inlineStr">
        <is>
          <t>Schedule_Calibration_Tolerance_Pct</t>
        </is>
      </c>
      <c r="B21" s="31" t="n">
        <v>0.05</v>
      </c>
      <c r="C21" s="9" t="inlineStr">
        <is>
          <t>Schedule cross-check: relative tolerance (fraction)</t>
        </is>
      </c>
    </row>
    <row r="22">
      <c r="A22" s="8" t="inlineStr">
        <is>
          <t>Schedule_Top3_Tie_Tolerance_Pct</t>
        </is>
      </c>
      <c r="B22" s="31" t="n">
        <v>0.02</v>
      </c>
      <c r="C22" s="9" t="inlineStr">
        <is>
          <t>Schedule top-3 cross-check: two contributors the arms rank apart are one tie when within this fraction of each other in BOTH arms</t>
        </is>
      </c>
    </row>
    <row r="23">
      <c r="A23" s="8" t="inlineStr">
        <is>
          <t>Default_Injection_Method</t>
        </is>
      </c>
      <c r="B23" s="9" t="inlineStr">
        <is>
          <t>discrete_event_additive_days</t>
        </is>
      </c>
      <c r="C23" s="9" t="inlineStr">
        <is>
          <t>Dual-coded risks with no Injection_Method on the Mapping sheet take this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A5A5A5"/>
    <outlinePr summaryBelow="1" summaryRight="1"/>
    <pageSetUpPr/>
  </sheetPr>
  <dimension ref="A1:B266"/>
  <sheetViews>
    <sheetView showGridLines="0" workbookViewId="0">
      <selection activeCell="A1" sqref="A1"/>
    </sheetView>
  </sheetViews>
  <sheetFormatPr baseColWidth="8" defaultRowHeight="15"/>
  <cols>
    <col width="110" customWidth="1" min="1" max="1"/>
    <col width="80" customWidth="1" min="2" max="2"/>
  </cols>
  <sheetData>
    <row r="1">
      <c r="A1" s="25" t="inlineStr">
        <is>
          <t>xlwings Lite - requirements &amp; code (paste-once)</t>
        </is>
      </c>
    </row>
    <row r="3">
      <c r="A3" s="3" t="inlineStr">
        <is>
          <t>Requirements (xlwings Lite -&gt; Environment)</t>
        </is>
      </c>
    </row>
    <row r="4">
      <c r="A4" s="33" t="inlineStr">
        <is>
          <t>numpy</t>
        </is>
      </c>
    </row>
    <row r="5">
      <c r="A5" s="33" t="inlineStr">
        <is>
          <t>scipy</t>
        </is>
      </c>
    </row>
    <row r="6">
      <c r="A6" s="33" t="inlineStr">
        <is>
          <t>Pyodide runtime: 314.0.1  (ratified Q4; do not float)</t>
        </is>
      </c>
    </row>
    <row r="8">
      <c r="A8" s="3" t="inlineStr">
        <is>
          <t>How to load the model code</t>
        </is>
      </c>
    </row>
    <row r="9" ht="60" customHeight="1">
      <c r="A9" s="34" t="inlineStr">
        <is>
          <t>Generate the pasteable script with  python tools/make_qra_xlwings.py  -&gt;  dist/qra_xlwings_combined.py, then paste it into the xlwings Lite editor. That generated file is the source of truth (byte-parity gated to the repo engine); do not hand-edit. The text below is a human-readable convenience copy of the @script entry points only.</t>
        </is>
      </c>
    </row>
    <row r="11">
      <c r="A11" s="3" t="inlineStr">
        <is>
          <t>Buttons (xlwings Lite task pane - one per @script)</t>
        </is>
      </c>
    </row>
    <row r="12">
      <c r="A12" s="35" t="inlineStr">
        <is>
          <t>Run Simulation</t>
        </is>
      </c>
      <c r="B12" s="2" t="inlineStr">
        <is>
          <t>cost-QRA at the interactive count (Settings B1 / Set_iterations, default 25,000).</t>
        </is>
      </c>
    </row>
    <row r="13">
      <c r="A13" s="35" t="inlineStr">
        <is>
          <t>Run Simulation 100k</t>
        </is>
      </c>
      <c r="B13" s="2" t="inlineStr">
        <is>
          <t>cost-QRA at the on-demand 100,000 count (Settings B5 / Set_iterations_max) - the deliverable run.</t>
        </is>
      </c>
    </row>
    <row r="14">
      <c r="A14" s="35" t="inlineStr">
        <is>
          <t>Validate Contract</t>
        </is>
      </c>
      <c r="B14" s="2" t="inlineStr">
        <is>
          <t>self-check the named-range contract + version + methodology; writes PASS/FAIL to Out_validation.</t>
        </is>
      </c>
    </row>
    <row r="16">
      <c r="A16" s="3" t="inlineStr">
        <is>
          <t>src/tier1_xlwings_shell.py (@script source - convenience copy)</t>
        </is>
      </c>
    </row>
    <row r="17">
      <c r="A17" s="33" t="inlineStr">
        <is>
          <t>"""QRAXL-01 Tier-1 xlwings Lite shell (front-end I/O layer).</t>
        </is>
      </c>
    </row>
    <row r="18">
      <c r="A18" s="33" t="n"/>
    </row>
    <row r="19">
      <c r="A19" s="33" t="inlineStr">
        <is>
          <t>The @script entry point the xlwings Lite runtime calls with the open workbook.</t>
        </is>
      </c>
    </row>
    <row r="20">
      <c r="A20" s="33" t="inlineStr">
        <is>
          <t>It reads the contract-v2 register via xlwings ranges, feeds the cell GRIDS to the</t>
        </is>
      </c>
    </row>
    <row r="21">
      <c r="A21" s="33" t="inlineStr">
        <is>
          <t>SHARED parser (``qra_register_parse`` - the same one Tier 2 uses, so Tier-1 ==</t>
        </is>
      </c>
    </row>
    <row r="22">
      <c r="A22" s="33" t="inlineStr">
        <is>
          <t>Tier-2 on the read side by construction), then runs ``qra_core`` and writes the</t>
        </is>
      </c>
    </row>
    <row r="23">
      <c r="A23" s="33" t="inlineStr">
        <is>
          <t>P-curve back.</t>
        </is>
      </c>
    </row>
    <row r="24">
      <c r="A24" s="33" t="n"/>
    </row>
    <row r="25">
      <c r="A25" s="33" t="inlineStr">
        <is>
          <t>The @script is a THIN I/O wrapper over the headless-testable</t>
        </is>
      </c>
    </row>
    <row r="26">
      <c r="A26" s="33" t="inlineStr">
        <is>
          <t>``tier1_headless.run_headless`` (read ranges -&gt; call the headless run -&gt; write</t>
        </is>
      </c>
    </row>
    <row r="27">
      <c r="A27" s="33" t="inlineStr">
        <is>
          <t>ranges), mirroring RF-01 (rf_headless.py is the runner, shell_xlwings.py the</t>
        </is>
      </c>
    </row>
    <row r="28">
      <c r="A28" s="33" t="inlineStr">
        <is>
          <t>I/O). CI covers the compute + formatting; only the literal xlwings range read/</t>
        </is>
      </c>
    </row>
    <row r="29">
      <c r="A29" s="33" t="inlineStr">
        <is>
          <t>write is Excel-only. ``qra_core``, the parser and the resolver stay Pyodide-</t>
        </is>
      </c>
    </row>
    <row r="30">
      <c r="A30" s="33" t="inlineStr">
        <is>
          <t>clean; only THIS shell imports xlwings.</t>
        </is>
      </c>
    </row>
    <row r="31">
      <c r="A31" s="33" t="inlineStr">
        <is>
          <t>"""</t>
        </is>
      </c>
    </row>
    <row r="32">
      <c r="A32" s="33" t="n"/>
    </row>
    <row r="33">
      <c r="A33" s="33" t="inlineStr">
        <is>
          <t>from __future__ import annotations</t>
        </is>
      </c>
    </row>
    <row r="34">
      <c r="A34" s="33" t="n"/>
    </row>
    <row r="35">
      <c r="A35" s="33" t="inlineStr">
        <is>
          <t>import xlwings as xw</t>
        </is>
      </c>
    </row>
    <row r="36">
      <c r="A36" s="33" t="inlineStr">
        <is>
          <t>from xlwings import script</t>
        </is>
      </c>
    </row>
    <row r="37">
      <c r="A37" s="33" t="n"/>
    </row>
    <row r="38">
      <c r="A38" s="33" t="inlineStr">
        <is>
          <t>from src.qra_register_parse import RISK_REGISTER_SHEET, _LAYER1_SHEETS</t>
        </is>
      </c>
    </row>
    <row r="39">
      <c r="A39" s="33" t="inlineStr">
        <is>
          <t>from src.register_contract import (</t>
        </is>
      </c>
    </row>
    <row r="40">
      <c r="A40" s="33" t="inlineStr">
        <is>
          <t xml:space="preserve">    LAYER1_ENABLED_NAME, check_contract, layer1_enabled_flag,</t>
        </is>
      </c>
    </row>
    <row r="41">
      <c r="A41" s="33" t="inlineStr">
        <is>
          <t>)</t>
        </is>
      </c>
    </row>
    <row r="42">
      <c r="A42" s="33" t="inlineStr">
        <is>
          <t>from src.tier1_headless import METHODOLOGY_SHEET_TITLE, run_headless</t>
        </is>
      </c>
    </row>
    <row r="43">
      <c r="A43" s="33" t="n"/>
    </row>
    <row r="44">
      <c r="A44" s="33" t="inlineStr">
        <is>
          <t># ---------------------------------------------------------------------------</t>
        </is>
      </c>
    </row>
    <row r="45">
      <c r="A45" s="33" t="inlineStr">
        <is>
          <t># xlwings Lite COMPATIBILITY (this class of defect cannot be caught headless)</t>
        </is>
      </c>
    </row>
    <row r="46">
      <c r="A46" s="33" t="inlineStr">
        <is>
          <t># ---------------------------------------------------------------------------</t>
        </is>
      </c>
    </row>
    <row r="47">
      <c r="A47" s="33" t="inlineStr">
        <is>
          <t># xlwings Lite's Office.js backend does NOT implement several classic xlwings</t>
        </is>
      </c>
    </row>
    <row r="48">
      <c r="A48" s="33" t="inlineStr">
        <is>
          <t># Sheet APIs. The Tier-1 shell MUST NOT use any of these (they raise a</t>
        </is>
      </c>
    </row>
    <row r="49">
      <c r="A49" s="33" t="inlineStr">
        <is>
          <t># base-class NotImplementedError only at runtime in Excel - the headless gates</t>
        </is>
      </c>
    </row>
    <row r="50">
      <c r="A50" s="33" t="inlineStr">
        <is>
          <t># read via openpyxl and never exercise them):</t>
        </is>
      </c>
    </row>
    <row r="51">
      <c r="A51" s="33" t="inlineStr">
        <is>
          <t>#</t>
        </is>
      </c>
    </row>
    <row r="52">
      <c r="A52" s="33" t="inlineStr">
        <is>
          <t>#   FORBIDDEN in Lite:  sheet.used_range   (xlwings-lite discussion #19)</t>
        </is>
      </c>
    </row>
    <row r="53">
      <c r="A53" s="33" t="inlineStr">
        <is>
          <t>#                       sheet.copy()</t>
        </is>
      </c>
    </row>
    <row r="54">
      <c r="A54" s="33" t="inlineStr">
        <is>
          <t>#                       sheet.api / Office.js getUsedRange (`.api` unsupported)</t>
        </is>
      </c>
    </row>
    <row r="55">
      <c r="A55" s="33" t="inlineStr">
        <is>
          <t>#</t>
        </is>
      </c>
    </row>
    <row r="56">
      <c r="A56" s="33" t="inlineStr">
        <is>
          <t># SUPPORTED reads/writes used here: named ranges via book.names[nm].</t>
        </is>
      </c>
    </row>
    <row r="57">
      <c r="A57" s="33" t="inlineStr">
        <is>
          <t># refers_to_range (Set_*, Out_*, Grid_RiskRegister, Grid_Methodology), and a FIXED</t>
        </is>
      </c>
    </row>
    <row r="58">
      <c r="A58" s="33" t="inlineStr">
        <is>
          <t># A1-anchored address read via book.sheets[name].range("A1:..") (Office.js getRange -</t>
        </is>
      </c>
    </row>
    <row r="59">
      <c r="A59" s="33" t="inlineStr">
        <is>
          <t># NOT getUsedRange). The grids are anchored at $A$1 (the parser uses ABSOLUTE Excel</t>
        </is>
      </c>
    </row>
    <row r="60">
      <c r="A60" s="33" t="inlineStr">
        <is>
          <t># row indices, so the grid must be row-1-aligned).</t>
        </is>
      </c>
    </row>
    <row r="61">
      <c r="A61" s="33" t="inlineStr">
        <is>
          <t>#</t>
        </is>
      </c>
    </row>
    <row r="62">
      <c r="A62" s="33" t="inlineStr">
        <is>
          <t># REG05-A2-FIX (D1): the Layer-1 sheets are read via their whole USED RANGE (a</t>
        </is>
      </c>
    </row>
    <row r="63">
      <c r="A63" s="33" t="inlineStr">
        <is>
          <t># generous fixed A1 block, see _sheet_grid), NOT the fixed Grid_Layer1_* names. The</t>
        </is>
      </c>
    </row>
    <row r="64">
      <c r="A64" s="33" t="inlineStr">
        <is>
          <t># Grid_Layer1_* names are sized to the empty template's header-only shell and do NOT</t>
        </is>
      </c>
    </row>
    <row r="65">
      <c r="A65" s="33" t="inlineStr">
        <is>
          <t># grow when the user fills the sheets, so a name-read saw only the shell (base sum</t>
        </is>
      </c>
    </row>
    <row r="66">
      <c r="A66" s="33" t="inlineStr">
        <is>
          <t># 3.9M != declared 50M, 0 factors, empty allocation). The used-range read grows with</t>
        </is>
      </c>
    </row>
    <row r="67">
      <c r="A67" s="33" t="inlineStr">
        <is>
          <t># the fill and matches tier1_headless.extract_grids_openpyxl. The Grid_Layer1_* names</t>
        </is>
      </c>
    </row>
    <row r="68">
      <c r="A68" s="33" t="inlineStr">
        <is>
          <t># stay EMITTED (contract v1.4 / Validate) - a contract surface, just not the read</t>
        </is>
      </c>
    </row>
    <row r="69">
      <c r="A69" s="33" t="inlineStr">
        <is>
          <t># source. Not .expand() (truncates at the V5 layout's interior blank rows) and not</t>
        </is>
      </c>
    </row>
    <row r="70">
      <c r="A70" s="33" t="inlineStr">
        <is>
          <t># .used_range/.api (Lite-forbidden); the parser trims trailing blanks, so an</t>
        </is>
      </c>
    </row>
    <row r="71">
      <c r="A71" s="33" t="inlineStr">
        <is>
          <t># over-extended fixed block is harmless.</t>
        </is>
      </c>
    </row>
    <row r="72">
      <c r="A72" s="33" t="inlineStr">
        <is>
          <t>_GRID_NAMES: dict[str, str] = {</t>
        </is>
      </c>
    </row>
    <row r="73">
      <c r="A73" s="33" t="inlineStr">
        <is>
          <t xml:space="preserve">    RISK_REGISTER_SHEET: "Grid_RiskRegister",</t>
        </is>
      </c>
    </row>
    <row r="74">
      <c r="A74" s="33" t="inlineStr">
        <is>
          <t xml:space="preserve">    METHODOLOGY_SHEET_TITLE: "Grid_Methodology",</t>
        </is>
      </c>
    </row>
    <row r="75">
      <c r="A75" s="33" t="inlineStr">
        <is>
          <t>}</t>
        </is>
      </c>
    </row>
    <row r="76">
      <c r="A76" s="33" t="n"/>
    </row>
    <row r="77">
      <c r="A77" s="33" t="inlineStr">
        <is>
          <t># Fixed A1-anchored block for the Layer-1 used-range read (rows x cols). Must</t>
        </is>
      </c>
    </row>
    <row r="78">
      <c r="A78" s="33" t="inlineStr">
        <is>
          <t># comfortably exceed any realistic Layer-1 extent (cost columns, WBS rows, factors -</t>
        </is>
      </c>
    </row>
    <row r="79">
      <c r="A79" s="33" t="inlineStr">
        <is>
          <t># a compact factor model, never a large table); the parser trims trailing blanks.</t>
        </is>
      </c>
    </row>
    <row r="80">
      <c r="A80" s="33" t="inlineStr">
        <is>
          <t># Parked robust option (brief §2.1): dynamic OFFSET Grid_Layer1_* names.</t>
        </is>
      </c>
    </row>
    <row r="81">
      <c r="A81" s="33" t="inlineStr">
        <is>
          <t>_LAYER1_READ_RANGE = "A1:AX200"  # AX = col 50; 200 rows</t>
        </is>
      </c>
    </row>
    <row r="82">
      <c r="A82" s="33" t="n"/>
    </row>
    <row r="83">
      <c r="A83" s="33" t="n"/>
    </row>
    <row r="84">
      <c r="A84" s="33" t="inlineStr">
        <is>
          <t>def _range_grid(book, range_name: str):</t>
        </is>
      </c>
    </row>
    <row r="85">
      <c r="A85" s="33" t="inlineStr">
        <is>
          <t xml:space="preserve">    """Read a named range's values as a 2D grid (list of row-lists). Returns []</t>
        </is>
      </c>
    </row>
    <row r="86">
      <c r="A86" s="33" t="inlineStr">
        <is>
          <t xml:space="preserve">    if the named range is absent. Lite-safe (named-range read only)."""</t>
        </is>
      </c>
    </row>
    <row r="87">
      <c r="A87" s="33" t="inlineStr">
        <is>
          <t xml:space="preserve">    try:</t>
        </is>
      </c>
    </row>
    <row r="88">
      <c r="A88" s="33" t="inlineStr">
        <is>
          <t xml:space="preserve">        rng = book.names[range_name].refers_to_range</t>
        </is>
      </c>
    </row>
    <row r="89">
      <c r="A89" s="33" t="inlineStr">
        <is>
          <t xml:space="preserve">    except (KeyError, Exception):  # noqa: BLE001 - Lite raises varied types on a missing name</t>
        </is>
      </c>
    </row>
    <row r="90">
      <c r="A90" s="33" t="inlineStr">
        <is>
          <t xml:space="preserve">        return []</t>
        </is>
      </c>
    </row>
    <row r="91">
      <c r="A91" s="33" t="inlineStr">
        <is>
          <t xml:space="preserve">    v = rng.value</t>
        </is>
      </c>
    </row>
    <row r="92">
      <c r="A92" s="33" t="inlineStr">
        <is>
          <t xml:space="preserve">    if v is None:</t>
        </is>
      </c>
    </row>
    <row r="93">
      <c r="A93" s="33" t="inlineStr">
        <is>
          <t xml:space="preserve">        return []</t>
        </is>
      </c>
    </row>
    <row r="94">
      <c r="A94" s="33" t="inlineStr">
        <is>
          <t xml:space="preserve">    if not isinstance(v, list):</t>
        </is>
      </c>
    </row>
    <row r="95">
      <c r="A95" s="33" t="inlineStr">
        <is>
          <t xml:space="preserve">        return [[v]]  # single cell</t>
        </is>
      </c>
    </row>
    <row r="96">
      <c r="A96" s="33" t="inlineStr">
        <is>
          <t xml:space="preserve">    if v and not isinstance(v[0], list):</t>
        </is>
      </c>
    </row>
    <row r="97">
      <c r="A97" s="33" t="inlineStr">
        <is>
          <t xml:space="preserve">        v = [v]  # xlwings collapses a single row to 1D; re-wrap to 2D</t>
        </is>
      </c>
    </row>
    <row r="98">
      <c r="A98" s="33" t="inlineStr">
        <is>
          <t xml:space="preserve">    return v</t>
        </is>
      </c>
    </row>
    <row r="99">
      <c r="A99" s="33" t="n"/>
    </row>
    <row r="100">
      <c r="A100" s="33" t="n"/>
    </row>
    <row r="101">
      <c r="A101" s="33" t="inlineStr">
        <is>
          <t>def _sheet_grid(book, sheet_name: str):</t>
        </is>
      </c>
    </row>
    <row r="102">
      <c r="A102" s="33" t="inlineStr">
        <is>
          <t xml:space="preserve">    """Read a whole Layer-1 sheet as a 2D grid over a generous FIXED A1-anchored</t>
        </is>
      </c>
    </row>
    <row r="103">
      <c r="A103" s="33" t="inlineStr">
        <is>
          <t xml:space="preserve">    block (:data:`_LAYER1_READ_RANGE`). Lite-safe: an explicit address via</t>
        </is>
      </c>
    </row>
    <row r="104">
      <c r="A104" s="33" t="inlineStr">
        <is>
          <t xml:space="preserve">    ``book.sheets[name].range(addr)`` (Office.js getRange), never the Lite-forbidden</t>
        </is>
      </c>
    </row>
    <row r="105">
      <c r="A105" s="33" t="inlineStr">
        <is>
          <t xml:space="preserve">    whole-sheet readers listed in this module's header. Grows with the user's fill</t>
        </is>
      </c>
    </row>
    <row r="106">
      <c r="A106" s="33" t="inlineStr">
        <is>
          <t xml:space="preserve">    where the fixed ``Grid_Layer1_*`` name would not (REG05-A2-FIX D1); the parser</t>
        </is>
      </c>
    </row>
    <row r="107">
      <c r="A107" s="33" t="inlineStr">
        <is>
          <t xml:space="preserve">    trims trailing blanks, so over-covering is harmless. ``[]`` if the sheet absent."""</t>
        </is>
      </c>
    </row>
    <row r="108">
      <c r="A108" s="33" t="inlineStr">
        <is>
          <t xml:space="preserve">    try:</t>
        </is>
      </c>
    </row>
    <row r="109">
      <c r="A109" s="33" t="inlineStr">
        <is>
          <t xml:space="preserve">        sht = book.sheets[sheet_name]</t>
        </is>
      </c>
    </row>
    <row r="110">
      <c r="A110" s="33" t="inlineStr">
        <is>
          <t xml:space="preserve">    except (KeyError, Exception):  # noqa: BLE001 - Lite raises varied types when absent</t>
        </is>
      </c>
    </row>
    <row r="111">
      <c r="A111" s="33" t="inlineStr">
        <is>
          <t xml:space="preserve">        return []</t>
        </is>
      </c>
    </row>
    <row r="112">
      <c r="A112" s="33" t="inlineStr">
        <is>
          <t xml:space="preserve">    try:</t>
        </is>
      </c>
    </row>
    <row r="113">
      <c r="A113" s="33" t="inlineStr">
        <is>
          <t xml:space="preserve">        v = sht.range(_LAYER1_READ_RANGE).value</t>
        </is>
      </c>
    </row>
    <row r="114">
      <c r="A114" s="33" t="inlineStr">
        <is>
          <t xml:space="preserve">    except Exception:  # noqa: BLE001 - a missing/empty sheet range reads as nothing</t>
        </is>
      </c>
    </row>
    <row r="115">
      <c r="A115" s="33" t="inlineStr">
        <is>
          <t xml:space="preserve">        return []</t>
        </is>
      </c>
    </row>
    <row r="116">
      <c r="A116" s="33" t="inlineStr">
        <is>
          <t xml:space="preserve">    if v is None:</t>
        </is>
      </c>
    </row>
    <row r="117">
      <c r="A117" s="33" t="inlineStr">
        <is>
          <t xml:space="preserve">        return []</t>
        </is>
      </c>
    </row>
    <row r="118">
      <c r="A118" s="33" t="inlineStr">
        <is>
          <t xml:space="preserve">    if not isinstance(v, list):</t>
        </is>
      </c>
    </row>
    <row r="119">
      <c r="A119" s="33" t="inlineStr">
        <is>
          <t xml:space="preserve">        v = [[v]]                       # single cell</t>
        </is>
      </c>
    </row>
    <row r="120">
      <c r="A120" s="33" t="inlineStr">
        <is>
          <t xml:space="preserve">    elif v and not isinstance(v[0], list):</t>
        </is>
      </c>
    </row>
    <row r="121">
      <c r="A121" s="33" t="inlineStr">
        <is>
          <t xml:space="preserve">        v = [v]                         # xlwings collapses a single row to 1D</t>
        </is>
      </c>
    </row>
    <row r="122">
      <c r="A122" s="33" t="inlineStr">
        <is>
          <t xml:space="preserve">    # trim trailing all-blank rows so the grid matches the openpyxl used range.</t>
        </is>
      </c>
    </row>
    <row r="123">
      <c r="A123" s="33" t="inlineStr">
        <is>
          <t xml:space="preserve">    while v and all(c is None for c in v[-1]):</t>
        </is>
      </c>
    </row>
    <row r="124">
      <c r="A124" s="33" t="inlineStr">
        <is>
          <t xml:space="preserve">        v.pop()</t>
        </is>
      </c>
    </row>
    <row r="125">
      <c r="A125" s="33" t="inlineStr">
        <is>
          <t xml:space="preserve">    return v</t>
        </is>
      </c>
    </row>
    <row r="126">
      <c r="A126" s="33" t="n"/>
    </row>
    <row r="127">
      <c r="A127" s="33" t="n"/>
    </row>
    <row r="128">
      <c r="A128" s="33" t="inlineStr">
        <is>
          <t>def read_grids_xlwings(book) -&gt; dict:</t>
        </is>
      </c>
    </row>
    <row r="129">
      <c r="A129" s="33" t="inlineStr">
        <is>
          <t xml:space="preserve">    """Tier-1 grid extraction (the Lite-safe analogue of</t>
        </is>
      </c>
    </row>
    <row r="130">
      <c r="A130" s="33" t="inlineStr">
        <is>
          <t xml:space="preserve">    ``tier1_headless.extract_grids_openpyxl``). Risk register + methodology via their</t>
        </is>
      </c>
    </row>
    <row r="131">
      <c r="A131" s="33" t="inlineStr">
        <is>
          <t xml:space="preserve">    ``Grid_*`` named ranges (sized to extent at build); the Layer-1 sheets via their</t>
        </is>
      </c>
    </row>
    <row r="132">
      <c r="A132" s="33" t="inlineStr">
        <is>
          <t xml:space="preserve">    whole USED RANGE (:func:`_sheet_grid`, REG05-A2-FIX D1). Same grids, same parser.</t>
        </is>
      </c>
    </row>
    <row r="133">
      <c r="A133" s="33" t="inlineStr">
        <is>
          <t xml:space="preserve">    A client register with no Layer-1 sheets -&gt; ``layer1={}`` -&gt; Layer 1 OFF, as Tier 2.</t>
        </is>
      </c>
    </row>
    <row r="134">
      <c r="A134" s="33" t="n"/>
    </row>
    <row r="135">
      <c r="A135" s="33" t="inlineStr">
        <is>
          <t xml:space="preserve">    REG05-A2 §3.2: read ``Set_Layer1_Enabled`` and thread it in as</t>
        </is>
      </c>
    </row>
    <row r="136">
      <c r="A136" s="33" t="inlineStr">
        <is>
          <t xml:space="preserve">    ``layer1_enabled``; when not TRUE, pass ``layer1={}`` so the shared parse gate</t>
        </is>
      </c>
    </row>
    <row r="137">
      <c r="A137" s="33" t="inlineStr">
        <is>
          <t xml:space="preserve">    returns None (an empty, present-but-disabled Layer-1 is a read no-op)."""</t>
        </is>
      </c>
    </row>
    <row r="138">
      <c r="A138" s="33" t="inlineStr">
        <is>
          <t xml:space="preserve">    enabled = layer1_enabled_flag(_named_value(book, LAYER1_ENABLED_NAME))</t>
        </is>
      </c>
    </row>
    <row r="139">
      <c r="A139" s="33" t="inlineStr">
        <is>
          <t xml:space="preserve">    layer1 = (</t>
        </is>
      </c>
    </row>
    <row r="140">
      <c r="A140" s="33" t="inlineStr">
        <is>
          <t xml:space="preserve">        {</t>
        </is>
      </c>
    </row>
    <row r="141">
      <c r="A141" s="33" t="inlineStr">
        <is>
          <t xml:space="preserve">            sheet: _sheet_grid(book, sheet)</t>
        </is>
      </c>
    </row>
    <row r="142">
      <c r="A142" s="33" t="inlineStr">
        <is>
          <t xml:space="preserve">            for sheet in _LAYER1_SHEETS</t>
        </is>
      </c>
    </row>
    <row r="143">
      <c r="A143" s="33" t="inlineStr">
        <is>
          <t xml:space="preserve">            if _sheet_grid(book, sheet)</t>
        </is>
      </c>
    </row>
    <row r="144">
      <c r="A144" s="33" t="inlineStr">
        <is>
          <t xml:space="preserve">        }</t>
        </is>
      </c>
    </row>
    <row r="145">
      <c r="A145" s="33" t="inlineStr">
        <is>
          <t xml:space="preserve">        if enabled else {}</t>
        </is>
      </c>
    </row>
    <row r="146">
      <c r="A146" s="33" t="inlineStr">
        <is>
          <t xml:space="preserve">    )</t>
        </is>
      </c>
    </row>
    <row r="147">
      <c r="A147" s="33" t="inlineStr">
        <is>
          <t xml:space="preserve">    return {</t>
        </is>
      </c>
    </row>
    <row r="148">
      <c r="A148" s="33" t="inlineStr">
        <is>
          <t xml:space="preserve">        "risk_register": _range_grid(book, _GRID_NAMES[RISK_REGISTER_SHEET]),</t>
        </is>
      </c>
    </row>
    <row r="149">
      <c r="A149" s="33" t="inlineStr">
        <is>
          <t xml:space="preserve">        "layer1": layer1,</t>
        </is>
      </c>
    </row>
    <row r="150">
      <c r="A150" s="33" t="inlineStr">
        <is>
          <t xml:space="preserve">        "layer1_enabled": enabled,</t>
        </is>
      </c>
    </row>
    <row r="151">
      <c r="A151" s="33" t="inlineStr">
        <is>
          <t xml:space="preserve">        # GD-B: the register's own methodology surface (CG coeffs + mode</t>
        </is>
      </c>
    </row>
    <row r="152">
      <c r="A152" s="33" t="inlineStr">
        <is>
          <t xml:space="preserve">        # multipliers). Absent -&gt; [] -&gt; the resolver fails loud (no fallback).</t>
        </is>
      </c>
    </row>
    <row r="153">
      <c r="A153" s="33" t="inlineStr">
        <is>
          <t xml:space="preserve">        "methodology": _range_grid(book, _GRID_NAMES[METHODOLOGY_SHEET_TITLE]),</t>
        </is>
      </c>
    </row>
    <row r="154">
      <c r="A154" s="33" t="inlineStr">
        <is>
          <t xml:space="preserve">    }</t>
        </is>
      </c>
    </row>
    <row r="155">
      <c r="A155" s="33" t="n"/>
    </row>
    <row r="156">
      <c r="A156" s="33" t="n"/>
    </row>
    <row r="157">
      <c r="A157" s="33" t="inlineStr">
        <is>
          <t>def _named_value(book, name):</t>
        </is>
      </c>
    </row>
    <row r="158">
      <c r="A158" s="33" t="inlineStr">
        <is>
          <t xml:space="preserve">    """Read a named-range scalar value (Lite-safe). Returns None if absent."""</t>
        </is>
      </c>
    </row>
    <row r="159">
      <c r="A159" s="33" t="inlineStr">
        <is>
          <t xml:space="preserve">    try:</t>
        </is>
      </c>
    </row>
    <row r="160">
      <c r="A160" s="33" t="inlineStr">
        <is>
          <t xml:space="preserve">        return book.names[name].refers_to_range.value</t>
        </is>
      </c>
    </row>
    <row r="161">
      <c r="A161" s="33" t="inlineStr">
        <is>
          <t xml:space="preserve">    except Exception:  # noqa: BLE001 - Lite raises varied types on a missing name</t>
        </is>
      </c>
    </row>
    <row r="162">
      <c r="A162" s="33" t="inlineStr">
        <is>
          <t xml:space="preserve">        return None</t>
        </is>
      </c>
    </row>
    <row r="163">
      <c r="A163" s="33" t="n"/>
    </row>
    <row r="164">
      <c r="A164" s="33" t="n"/>
    </row>
    <row r="165">
      <c r="A165" s="33" t="inlineStr">
        <is>
          <t>def _pad(rows2d: list, nrows: int, ncols: int) -&gt; list:</t>
        </is>
      </c>
    </row>
    <row r="166">
      <c r="A166" s="33" t="inlineStr">
        <is>
          <t xml:space="preserve">    """Truncate/pad a 2D list to (nrows, ncols) with None so the write matches</t>
        </is>
      </c>
    </row>
    <row r="167">
      <c r="A167" s="33" t="inlineStr">
        <is>
          <t xml:space="preserve">    the fixed named-range shape (RF-01 pattern)."""</t>
        </is>
      </c>
    </row>
    <row r="168">
      <c r="A168" s="33" t="inlineStr">
        <is>
          <t xml:space="preserve">    out = []</t>
        </is>
      </c>
    </row>
    <row r="169">
      <c r="A169" s="33" t="inlineStr">
        <is>
          <t xml:space="preserve">    for i in range(nrows):</t>
        </is>
      </c>
    </row>
    <row r="170">
      <c r="A170" s="33" t="inlineStr">
        <is>
          <t xml:space="preserve">        row = list(rows2d[i]) if i &lt; len(rows2d) else []</t>
        </is>
      </c>
    </row>
    <row r="171">
      <c r="A171" s="33" t="inlineStr">
        <is>
          <t xml:space="preserve">        out.append([(row[j] if j &lt; len(row) else None) for j in range(ncols)])</t>
        </is>
      </c>
    </row>
    <row r="172">
      <c r="A172" s="33" t="inlineStr">
        <is>
          <t xml:space="preserve">    return out</t>
        </is>
      </c>
    </row>
    <row r="173">
      <c r="A173" s="33" t="n"/>
    </row>
    <row r="174">
      <c r="A174" s="33" t="n"/>
    </row>
    <row r="175">
      <c r="A175" s="33" t="inlineStr">
        <is>
          <t>def _run_and_write(book, iterations_name: str, default_iter: int):</t>
        </is>
      </c>
    </row>
    <row r="176">
      <c r="A176" s="33" t="inlineStr">
        <is>
          <t xml:space="preserve">    """Shared run path for the run buttons: read Set_* ranges -&gt; run_headless -&gt;</t>
        </is>
      </c>
    </row>
    <row r="177">
      <c r="A177" s="33" t="inlineStr">
        <is>
          <t xml:space="preserve">    write Out_* ranges. ``iterations_name`` selects which Settings cell drives the</t>
        </is>
      </c>
    </row>
    <row r="178">
      <c r="A178" s="33" t="inlineStr">
        <is>
          <t xml:space="preserve">    iteration count (Set_iterations = interactive default; Set_iterations_max =</t>
        </is>
      </c>
    </row>
    <row r="179">
      <c r="A179" s="33" t="inlineStr">
        <is>
          <t xml:space="preserve">    the 100k button). Named-range reads/writes only (Lite-safe)."""</t>
        </is>
      </c>
    </row>
    <row r="180">
      <c r="A180" s="33" t="inlineStr">
        <is>
          <t xml:space="preserve">    grids = read_grids_xlwings(book)</t>
        </is>
      </c>
    </row>
    <row r="181">
      <c r="A181" s="33" t="n"/>
    </row>
    <row r="182">
      <c r="A182" s="33" t="inlineStr">
        <is>
          <t xml:space="preserve">    def R(nm):</t>
        </is>
      </c>
    </row>
    <row r="183">
      <c r="A183" s="33" t="inlineStr">
        <is>
          <t xml:space="preserve">        return book.names[nm].refers_to_range</t>
        </is>
      </c>
    </row>
    <row r="184">
      <c r="A184" s="33" t="n"/>
    </row>
    <row r="185">
      <c r="A185" s="33" t="inlineStr">
        <is>
          <t xml:space="preserve">    def _named(nm, default):</t>
        </is>
      </c>
    </row>
    <row r="186">
      <c r="A186" s="33" t="inlineStr">
        <is>
          <t xml:space="preserve">        try:</t>
        </is>
      </c>
    </row>
    <row r="187">
      <c r="A187" s="33" t="inlineStr">
        <is>
          <t xml:space="preserve">            return R(nm).value</t>
        </is>
      </c>
    </row>
    <row r="188">
      <c r="A188" s="33" t="inlineStr">
        <is>
          <t xml:space="preserve">        except Exception:</t>
        </is>
      </c>
    </row>
    <row r="189">
      <c r="A189" s="33" t="inlineStr">
        <is>
          <t xml:space="preserve">            return default</t>
        </is>
      </c>
    </row>
    <row r="190">
      <c r="A190" s="33" t="n"/>
    </row>
    <row r="191">
      <c r="A191" s="33" t="inlineStr">
        <is>
          <t xml:space="preserve">    n_iter = int(_named(iterations_name, default_iter) or default_iter)</t>
        </is>
      </c>
    </row>
    <row r="192">
      <c r="A192" s="33" t="inlineStr">
        <is>
          <t xml:space="preserve">    seed = int(_named("Set_seed", 42) or 42)</t>
        </is>
      </c>
    </row>
    <row r="193">
      <c r="A193" s="33" t="inlineStr">
        <is>
          <t xml:space="preserve">    view = str(_named("Set_view", "owner") or "owner").strip().lower()</t>
        </is>
      </c>
    </row>
    <row r="194">
      <c r="A194" s="33" t="inlineStr">
        <is>
          <t xml:space="preserve">    # GENERIC-01: no fallback. `Set_risk_prefix` is contract-required, and defaulting it to the</t>
        </is>
      </c>
    </row>
    <row r="195">
      <c r="A195" s="33" t="inlineStr">
        <is>
          <t xml:space="preserve">    # wind project's "WT" meant a register that omitted it had every risk row read against another</t>
        </is>
      </c>
    </row>
    <row r="196">
      <c r="A196" s="33" t="inlineStr">
        <is>
          <t xml:space="preserve">    # project's prefix, matched none, and returned an EMPTY result rather than an error - a wrong</t>
        </is>
      </c>
    </row>
    <row r="197">
      <c r="A197" s="33" t="inlineStr">
        <is>
          <t xml:space="preserve">    # answer where the missing range should have been a refusal.</t>
        </is>
      </c>
    </row>
    <row r="198">
      <c r="A198" s="33" t="inlineStr">
        <is>
          <t xml:space="preserve">    prefix = str(_named("Set_risk_prefix", "") or "").strip()</t>
        </is>
      </c>
    </row>
    <row r="199">
      <c r="A199" s="33" t="inlineStr">
        <is>
          <t xml:space="preserve">    if not prefix:</t>
        </is>
      </c>
    </row>
    <row r="200">
      <c r="A200" s="33" t="inlineStr">
        <is>
          <t xml:space="preserve">        raise ValueError(</t>
        </is>
      </c>
    </row>
    <row r="201">
      <c r="A201" s="33" t="inlineStr">
        <is>
          <t xml:space="preserve">            "Set_risk_prefix is missing or empty. It is required by the register contract and "</t>
        </is>
      </c>
    </row>
    <row r="202">
      <c r="A202" s="33" t="inlineStr">
        <is>
          <t xml:space="preserve">            "there is no default: a prefix borrowed from another project would match no risk "</t>
        </is>
      </c>
    </row>
    <row r="203">
      <c r="A203" s="33" t="inlineStr">
        <is>
          <t xml:space="preserve">            "rows and report an empty register as though it were a result.")</t>
        </is>
      </c>
    </row>
    <row r="204">
      <c r="A204" s="33" t="n"/>
    </row>
    <row r="205">
      <c r="A205" s="33" t="inlineStr">
        <is>
          <t xml:space="preserve">    # The ENTIRE compute + formatting is the headless core (CI-covered). This</t>
        </is>
      </c>
    </row>
    <row r="206">
      <c r="A206" s="33" t="inlineStr">
        <is>
          <t xml:space="preserve">    # wrapper only reads the ranges above and writes the ranges below.</t>
        </is>
      </c>
    </row>
    <row r="207">
      <c r="A207" s="33" t="inlineStr">
        <is>
          <t xml:space="preserve">    out = run_headless(grids, risk_id_prefix=prefix, n_iter=n_iter, seed=seed, view=view)</t>
        </is>
      </c>
    </row>
    <row r="208">
      <c r="A208" s="33" t="n"/>
    </row>
    <row r="209">
      <c r="A209" s="33" t="inlineStr">
        <is>
          <t xml:space="preserve">    R("Out_ptable").value = _pad(out["p_table"], 19, 2)</t>
        </is>
      </c>
    </row>
    <row r="210">
      <c r="A210" s="33" t="inlineStr">
        <is>
          <t xml:space="preserve">    R("Out_scurve").value = _pad(</t>
        </is>
      </c>
    </row>
    <row r="211">
      <c r="A211" s="33" t="inlineStr">
        <is>
          <t xml:space="preserve">        list(zip(out["s_curve"]["prob"], out["s_curve"]["value"])), 101, 2</t>
        </is>
      </c>
    </row>
    <row r="212">
      <c r="A212" s="33" t="inlineStr">
        <is>
          <t xml:space="preserve">    )</t>
        </is>
      </c>
    </row>
    <row r="213">
      <c r="A213" s="33" t="inlineStr">
        <is>
          <t xml:space="preserve">    R("Corr_flag").value = out["corr_flag"]</t>
        </is>
      </c>
    </row>
    <row r="214">
      <c r="A214" s="33" t="inlineStr">
        <is>
          <t xml:space="preserve">    conv = out["convergence_note"]</t>
        </is>
      </c>
    </row>
    <row r="215">
      <c r="A215" s="33" t="inlineStr">
        <is>
          <t xml:space="preserve">    R("Out_conv_halfwidth").value = round(conv["p80_ci95_half_width"], 2)</t>
        </is>
      </c>
    </row>
    <row r="216">
      <c r="A216" s="33" t="inlineStr">
        <is>
          <t xml:space="preserve">    R("Out_conv_pct").value = round(conv["p80_ci95_half_width_pct"], 4)</t>
        </is>
      </c>
    </row>
    <row r="217">
      <c r="A217" s="33" t="inlineStr">
        <is>
          <t xml:space="preserve">    if out["triple"]:</t>
        </is>
      </c>
    </row>
    <row r="218">
      <c r="A218" s="33" t="inlineStr">
        <is>
          <t xml:space="preserve">        modes = ("zero", "elicited", "one")</t>
        </is>
      </c>
    </row>
    <row r="219">
      <c r="A219" s="33" t="inlineStr">
        <is>
          <t xml:space="preserve">        triple_rows = [</t>
        </is>
      </c>
    </row>
    <row r="220">
      <c r="A220" s="33" t="inlineStr">
        <is>
          <t xml:space="preserve">            [out["triple"]["elicited"][i][0]] + [out["triple"][m][i][1] for m in modes]</t>
        </is>
      </c>
    </row>
    <row r="221">
      <c r="A221" s="33" t="inlineStr">
        <is>
          <t xml:space="preserve">            for i in range(len(out["triple"]["elicited"]))</t>
        </is>
      </c>
    </row>
    <row r="222">
      <c r="A222" s="33" t="inlineStr">
        <is>
          <t xml:space="preserve">        ]</t>
        </is>
      </c>
    </row>
    <row r="223">
      <c r="A223" s="33" t="inlineStr">
        <is>
          <t xml:space="preserve">        R("Out_triple").value = _pad(triple_rows, 19, 4)</t>
        </is>
      </c>
    </row>
    <row r="224">
      <c r="A224" s="33" t="n"/>
    </row>
    <row r="225">
      <c r="A225" s="33" t="n"/>
    </row>
    <row r="226">
      <c r="A226" s="33" t="inlineStr">
        <is>
          <t>@script</t>
        </is>
      </c>
    </row>
    <row r="227">
      <c r="A227" s="33" t="inlineStr">
        <is>
          <t>def run_simulation(book: xw.Book):  # pragma: no cover - exercised in Excel (6b load test)</t>
        </is>
      </c>
    </row>
    <row r="228">
      <c r="A228" s="33" t="inlineStr">
        <is>
          <t xml:space="preserve">    """BUTTON: run the cost-QRA at the interactive iteration count (Settings B1 /</t>
        </is>
      </c>
    </row>
    <row r="229">
      <c r="A229" s="33" t="inlineStr">
        <is>
          <t xml:space="preserve">    Set_iterations, default 25k) and write the P-curve/S-curve/convergence back."""</t>
        </is>
      </c>
    </row>
    <row r="230">
      <c r="A230" s="33" t="inlineStr">
        <is>
          <t xml:space="preserve">    _run_and_write(book, "Set_iterations", 25_000)</t>
        </is>
      </c>
    </row>
    <row r="231">
      <c r="A231" s="33" t="n"/>
    </row>
    <row r="232">
      <c r="A232" s="33" t="n"/>
    </row>
    <row r="233">
      <c r="A233" s="33" t="inlineStr">
        <is>
          <t>@script</t>
        </is>
      </c>
    </row>
    <row r="234">
      <c r="A234" s="33" t="inlineStr">
        <is>
          <t>def run_simulation_100k(book: xw.Book):  # pragma: no cover - exercised in Excel</t>
        </is>
      </c>
    </row>
    <row r="235">
      <c r="A235" s="33" t="inlineStr">
        <is>
          <t xml:space="preserve">    """BUTTON: run the cost-QRA at the on-demand 100k count (Settings B5 /</t>
        </is>
      </c>
    </row>
    <row r="236">
      <c r="A236" s="33" t="inlineStr">
        <is>
          <t xml:space="preserve">    Set_iterations_max, default 100k) - the high-resolution run for the deliverable.</t>
        </is>
      </c>
    </row>
    <row r="237">
      <c r="A237" s="33" t="inlineStr">
        <is>
          <t xml:space="preserve">    Same write-back as run_simulation; only the iteration count differs."""</t>
        </is>
      </c>
    </row>
    <row r="238">
      <c r="A238" s="33" t="inlineStr">
        <is>
          <t xml:space="preserve">    _run_and_write(book, "Set_iterations_max", 100_000)</t>
        </is>
      </c>
    </row>
    <row r="239">
      <c r="A239" s="33" t="n"/>
    </row>
    <row r="240">
      <c r="A240" s="33" t="n"/>
    </row>
    <row r="241">
      <c r="A241" s="33" t="inlineStr">
        <is>
          <t>@script</t>
        </is>
      </c>
    </row>
    <row r="242">
      <c r="A242" s="33" t="inlineStr">
        <is>
          <t>def validate_contract(book: xw.Book):  # pragma: no cover - exercised in Excel</t>
        </is>
      </c>
    </row>
    <row r="243">
      <c r="A243" s="33" t="inlineStr">
        <is>
          <t xml:space="preserve">    """REG03 S2 rider (1): a contract self-check for a scaffold-once handover.</t>
        </is>
      </c>
    </row>
    <row r="244">
      <c r="A244" s="33" t="n"/>
    </row>
    <row r="245">
      <c r="A245" s="33" t="inlineStr">
        <is>
          <t xml:space="preserve">    After a user hand-edits the scaffolded register, this verifies the</t>
        </is>
      </c>
    </row>
    <row r="246">
      <c r="A246" s="33" t="inlineStr">
        <is>
          <t xml:space="preserve">    Grid_*/Set_*/Out_* named ranges are all present, Set_ContractVersion matches,</t>
        </is>
      </c>
    </row>
    <row r="247">
      <c r="A247" s="33" t="inlineStr">
        <is>
          <t xml:space="preserve">    and Grid_Methodology carries its 13 CG + 3 mode rows - writing PASS/FAIL + a</t>
        </is>
      </c>
    </row>
    <row r="248">
      <c r="A248" s="33" t="inlineStr">
        <is>
          <t xml:space="preserve">    human-readable message to the Out_validation range. A thin I/O wrapper over the</t>
        </is>
      </c>
    </row>
    <row r="249">
      <c r="A249" s="33" t="inlineStr">
        <is>
          <t xml:space="preserve">    headless ``check_contract`` (CI-covered); it reads via named ranges only, so it</t>
        </is>
      </c>
    </row>
    <row r="250">
      <c r="A250" s="33" t="inlineStr">
        <is>
          <t xml:space="preserve">    obeys the Lite forbidden-API list documented in this module's header."""</t>
        </is>
      </c>
    </row>
    <row r="251">
      <c r="A251" s="33" t="inlineStr">
        <is>
          <t xml:space="preserve">    grids = read_grids_xlwings(book)</t>
        </is>
      </c>
    </row>
    <row r="252">
      <c r="A252" s="33" t="inlineStr">
        <is>
          <t xml:space="preserve">    try:</t>
        </is>
      </c>
    </row>
    <row r="253">
      <c r="A253" s="33" t="inlineStr">
        <is>
          <t xml:space="preserve">        present = [nm.name for nm in book.names]</t>
        </is>
      </c>
    </row>
    <row r="254">
      <c r="A254" s="33" t="inlineStr">
        <is>
          <t xml:space="preserve">    except Exception:</t>
        </is>
      </c>
    </row>
    <row r="255">
      <c r="A255" s="33" t="inlineStr">
        <is>
          <t xml:space="preserve">        present = []</t>
        </is>
      </c>
    </row>
    <row r="256">
      <c r="A256" s="33" t="n"/>
    </row>
    <row r="257">
      <c r="A257" s="33" t="inlineStr">
        <is>
          <t xml:space="preserve">    def _named(nm, default=None):</t>
        </is>
      </c>
    </row>
    <row r="258">
      <c r="A258" s="33" t="inlineStr">
        <is>
          <t xml:space="preserve">        try:</t>
        </is>
      </c>
    </row>
    <row r="259">
      <c r="A259" s="33" t="inlineStr">
        <is>
          <t xml:space="preserve">            return book.names[nm].refers_to_range.value</t>
        </is>
      </c>
    </row>
    <row r="260">
      <c r="A260" s="33" t="inlineStr">
        <is>
          <t xml:space="preserve">        except Exception:</t>
        </is>
      </c>
    </row>
    <row r="261">
      <c r="A261" s="33" t="inlineStr">
        <is>
          <t xml:space="preserve">            return default</t>
        </is>
      </c>
    </row>
    <row r="262">
      <c r="A262" s="33" t="n"/>
    </row>
    <row r="263">
      <c r="A263" s="33" t="inlineStr">
        <is>
          <t xml:space="preserve">    ok, message = check_contract(present, grids["methodology"],</t>
        </is>
      </c>
    </row>
    <row r="264">
      <c r="A264" s="33" t="inlineStr">
        <is>
          <t xml:space="preserve">                                 _named("Set_ContractVersion"))</t>
        </is>
      </c>
    </row>
    <row r="265">
      <c r="A265" s="33" t="inlineStr">
        <is>
          <t xml:space="preserve">    book.names["Out_validation"].refers_to_range.value = [</t>
        </is>
      </c>
    </row>
    <row r="266">
      <c r="A266" s="33" t="inlineStr">
        <is>
          <t xml:space="preserve">        ["PASS" if ok else "FAIL"], [message]]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8EA9DB"/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</cols>
  <sheetData>
    <row r="1">
      <c r="A1" t="inlineStr">
        <is>
          <t>Iterations (interactive default)</t>
        </is>
      </c>
      <c r="B1" s="9" t="n">
        <v>25000</v>
      </c>
    </row>
    <row r="2">
      <c r="A2" t="inlineStr">
        <is>
          <t>Random seed</t>
        </is>
      </c>
      <c r="B2" s="9" t="n">
        <v>42</v>
      </c>
    </row>
    <row r="3">
      <c r="A3" t="inlineStr">
        <is>
          <t>View (owner | shared-pool)</t>
        </is>
      </c>
      <c r="B3" s="9" t="inlineStr">
        <is>
          <t>owner</t>
        </is>
      </c>
    </row>
    <row r="4">
      <c r="A4" t="inlineStr">
        <is>
          <t>Risk-ID prefix</t>
        </is>
      </c>
      <c r="B4" s="9" t="inlineStr">
        <is>
          <t>WT</t>
        </is>
      </c>
    </row>
    <row r="5">
      <c r="A5" t="inlineStr">
        <is>
          <t>Iterations (100k on-demand button)</t>
        </is>
      </c>
      <c r="B5" s="9" t="n">
        <v>100000</v>
      </c>
    </row>
    <row r="6">
      <c r="A6" t="inlineStr">
        <is>
          <t>Contract version</t>
        </is>
      </c>
      <c r="B6" s="8" t="inlineStr">
        <is>
          <t>1.4</t>
        </is>
      </c>
    </row>
    <row r="7">
      <c r="A7" t="inlineStr">
        <is>
          <t>Pyodide runtime pin</t>
        </is>
      </c>
      <c r="B7" t="inlineStr">
        <is>
          <t>314.0.1</t>
        </is>
      </c>
    </row>
    <row r="8">
      <c r="A8" t="inlineStr">
        <is>
          <t>Layer 1 enabled (TRUE/FALSE)</t>
        </is>
      </c>
      <c r="B8" s="9" t="b">
        <v>1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FCE4B6"/>
    <outlinePr summaryBelow="1" summaryRight="1"/>
    <pageSetUpPr/>
  </sheetPr>
  <dimension ref="A1:N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P-level</t>
        </is>
      </c>
      <c r="B1" t="inlineStr">
        <is>
          <t>Cost ($)</t>
        </is>
      </c>
      <c r="D1" t="inlineStr">
        <is>
          <t>Cum. prob</t>
        </is>
      </c>
      <c r="E1" t="inlineStr">
        <is>
          <t>Cost ($)</t>
        </is>
      </c>
      <c r="G1" t="inlineStr">
        <is>
          <t>Corr_flag</t>
        </is>
      </c>
      <c r="H1" s="36" t="n"/>
      <c r="I1" t="inlineStr">
        <is>
          <t>P-level</t>
        </is>
      </c>
      <c r="J1" t="inlineStr">
        <is>
          <t>rho=0</t>
        </is>
      </c>
      <c r="K1" t="inlineStr">
        <is>
          <t>elicited</t>
        </is>
      </c>
      <c r="L1" t="inlineStr">
        <is>
          <t>rho=1</t>
        </is>
      </c>
      <c r="N1" s="27" t="inlineStr">
        <is>
          <t>Contract validation</t>
        </is>
      </c>
    </row>
    <row r="2">
      <c r="A2" s="36" t="n"/>
      <c r="B2" s="36" t="n"/>
      <c r="D2" s="36" t="n"/>
      <c r="E2" s="36" t="n"/>
      <c r="I2" s="36" t="n"/>
      <c r="J2" s="36" t="n"/>
      <c r="K2" s="36" t="n"/>
      <c r="L2" s="36" t="n"/>
      <c r="N2" s="36" t="n"/>
    </row>
    <row r="3">
      <c r="A3" s="36" t="n"/>
      <c r="B3" s="36" t="n"/>
      <c r="D3" s="36" t="n"/>
      <c r="E3" s="36" t="n"/>
      <c r="G3" t="inlineStr">
        <is>
          <t>P80 CI half-width (25k)</t>
        </is>
      </c>
      <c r="H3" s="36" t="n"/>
      <c r="I3" s="36" t="n"/>
      <c r="J3" s="36" t="n"/>
      <c r="K3" s="36" t="n"/>
      <c r="L3" s="36" t="n"/>
      <c r="N3" s="36" t="n"/>
    </row>
    <row r="4">
      <c r="A4" s="36" t="n"/>
      <c r="B4" s="36" t="n"/>
      <c r="D4" s="36" t="n"/>
      <c r="E4" s="36" t="n"/>
      <c r="G4" t="inlineStr">
        <is>
          <t>P80 CI half-width (%)</t>
        </is>
      </c>
      <c r="H4" s="36" t="n"/>
      <c r="I4" s="36" t="n"/>
      <c r="J4" s="36" t="n"/>
      <c r="K4" s="36" t="n"/>
      <c r="L4" s="36" t="n"/>
    </row>
    <row r="5">
      <c r="A5" s="36" t="n"/>
      <c r="B5" s="36" t="n"/>
      <c r="D5" s="36" t="n"/>
      <c r="E5" s="36" t="n"/>
      <c r="I5" s="36" t="n"/>
      <c r="J5" s="36" t="n"/>
      <c r="K5" s="36" t="n"/>
      <c r="L5" s="36" t="n"/>
    </row>
    <row r="6">
      <c r="A6" s="36" t="n"/>
      <c r="B6" s="36" t="n"/>
      <c r="D6" s="36" t="n"/>
      <c r="E6" s="36" t="n"/>
      <c r="G6" s="26" t="inlineStr">
        <is>
          <t>Amber cells are written by the model (xlwings) - do not edit.</t>
        </is>
      </c>
      <c r="I6" s="36" t="n"/>
      <c r="J6" s="36" t="n"/>
      <c r="K6" s="36" t="n"/>
      <c r="L6" s="36" t="n"/>
    </row>
    <row r="7">
      <c r="A7" s="36" t="n"/>
      <c r="B7" s="36" t="n"/>
      <c r="D7" s="36" t="n"/>
      <c r="E7" s="36" t="n"/>
      <c r="I7" s="36" t="n"/>
      <c r="J7" s="36" t="n"/>
      <c r="K7" s="36" t="n"/>
      <c r="L7" s="36" t="n"/>
    </row>
    <row r="8">
      <c r="A8" s="36" t="n"/>
      <c r="B8" s="36" t="n"/>
      <c r="D8" s="36" t="n"/>
      <c r="E8" s="36" t="n"/>
      <c r="I8" s="36" t="n"/>
      <c r="J8" s="36" t="n"/>
      <c r="K8" s="36" t="n"/>
      <c r="L8" s="36" t="n"/>
    </row>
    <row r="9">
      <c r="A9" s="36" t="n"/>
      <c r="B9" s="36" t="n"/>
      <c r="D9" s="36" t="n"/>
      <c r="E9" s="36" t="n"/>
      <c r="I9" s="36" t="n"/>
      <c r="J9" s="36" t="n"/>
      <c r="K9" s="36" t="n"/>
      <c r="L9" s="36" t="n"/>
    </row>
    <row r="10">
      <c r="A10" s="36" t="n"/>
      <c r="B10" s="36" t="n"/>
      <c r="D10" s="36" t="n"/>
      <c r="E10" s="36" t="n"/>
      <c r="I10" s="36" t="n"/>
      <c r="J10" s="36" t="n"/>
      <c r="K10" s="36" t="n"/>
      <c r="L10" s="36" t="n"/>
    </row>
    <row r="11">
      <c r="A11" s="36" t="n"/>
      <c r="B11" s="36" t="n"/>
      <c r="D11" s="36" t="n"/>
      <c r="E11" s="36" t="n"/>
      <c r="I11" s="36" t="n"/>
      <c r="J11" s="36" t="n"/>
      <c r="K11" s="36" t="n"/>
      <c r="L11" s="36" t="n"/>
    </row>
    <row r="12">
      <c r="A12" s="36" t="n"/>
      <c r="B12" s="36" t="n"/>
      <c r="D12" s="36" t="n"/>
      <c r="E12" s="36" t="n"/>
      <c r="I12" s="36" t="n"/>
      <c r="J12" s="36" t="n"/>
      <c r="K12" s="36" t="n"/>
      <c r="L12" s="36" t="n"/>
    </row>
    <row r="13">
      <c r="A13" s="36" t="n"/>
      <c r="B13" s="36" t="n"/>
      <c r="D13" s="36" t="n"/>
      <c r="E13" s="36" t="n"/>
      <c r="I13" s="36" t="n"/>
      <c r="J13" s="36" t="n"/>
      <c r="K13" s="36" t="n"/>
      <c r="L13" s="36" t="n"/>
    </row>
    <row r="14">
      <c r="A14" s="36" t="n"/>
      <c r="B14" s="36" t="n"/>
      <c r="D14" s="36" t="n"/>
      <c r="E14" s="36" t="n"/>
      <c r="I14" s="36" t="n"/>
      <c r="J14" s="36" t="n"/>
      <c r="K14" s="36" t="n"/>
      <c r="L14" s="36" t="n"/>
    </row>
    <row r="15">
      <c r="A15" s="36" t="n"/>
      <c r="B15" s="36" t="n"/>
      <c r="D15" s="36" t="n"/>
      <c r="E15" s="36" t="n"/>
      <c r="I15" s="36" t="n"/>
      <c r="J15" s="36" t="n"/>
      <c r="K15" s="36" t="n"/>
      <c r="L15" s="36" t="n"/>
    </row>
    <row r="16">
      <c r="A16" s="36" t="n"/>
      <c r="B16" s="36" t="n"/>
      <c r="D16" s="36" t="n"/>
      <c r="E16" s="36" t="n"/>
      <c r="I16" s="36" t="n"/>
      <c r="J16" s="36" t="n"/>
      <c r="K16" s="36" t="n"/>
      <c r="L16" s="36" t="n"/>
    </row>
    <row r="17">
      <c r="A17" s="36" t="n"/>
      <c r="B17" s="36" t="n"/>
      <c r="D17" s="36" t="n"/>
      <c r="E17" s="36" t="n"/>
      <c r="I17" s="36" t="n"/>
      <c r="J17" s="36" t="n"/>
      <c r="K17" s="36" t="n"/>
      <c r="L17" s="36" t="n"/>
    </row>
    <row r="18">
      <c r="A18" s="36" t="n"/>
      <c r="B18" s="36" t="n"/>
      <c r="D18" s="36" t="n"/>
      <c r="E18" s="36" t="n"/>
      <c r="I18" s="36" t="n"/>
      <c r="J18" s="36" t="n"/>
      <c r="K18" s="36" t="n"/>
      <c r="L18" s="36" t="n"/>
    </row>
    <row r="19">
      <c r="A19" s="36" t="n"/>
      <c r="B19" s="36" t="n"/>
      <c r="D19" s="36" t="n"/>
      <c r="E19" s="36" t="n"/>
      <c r="I19" s="36" t="n"/>
      <c r="J19" s="36" t="n"/>
      <c r="K19" s="36" t="n"/>
      <c r="L19" s="36" t="n"/>
    </row>
    <row r="20">
      <c r="A20" s="36" t="n"/>
      <c r="B20" s="36" t="n"/>
      <c r="D20" s="36" t="n"/>
      <c r="E20" s="36" t="n"/>
      <c r="I20" s="36" t="n"/>
      <c r="J20" s="36" t="n"/>
      <c r="K20" s="36" t="n"/>
      <c r="L20" s="36" t="n"/>
    </row>
    <row r="21">
      <c r="D21" s="36" t="n"/>
      <c r="E21" s="36" t="n"/>
    </row>
    <row r="22">
      <c r="D22" s="36" t="n"/>
      <c r="E22" s="36" t="n"/>
    </row>
    <row r="23">
      <c r="D23" s="36" t="n"/>
      <c r="E23" s="36" t="n"/>
    </row>
    <row r="24">
      <c r="D24" s="36" t="n"/>
      <c r="E24" s="36" t="n"/>
    </row>
    <row r="25">
      <c r="D25" s="36" t="n"/>
      <c r="E25" s="36" t="n"/>
    </row>
    <row r="26">
      <c r="D26" s="36" t="n"/>
      <c r="E26" s="36" t="n"/>
    </row>
    <row r="27">
      <c r="D27" s="36" t="n"/>
      <c r="E27" s="36" t="n"/>
    </row>
    <row r="28">
      <c r="D28" s="36" t="n"/>
      <c r="E28" s="36" t="n"/>
    </row>
    <row r="29">
      <c r="D29" s="36" t="n"/>
      <c r="E29" s="36" t="n"/>
    </row>
    <row r="30">
      <c r="D30" s="36" t="n"/>
      <c r="E30" s="36" t="n"/>
    </row>
    <row r="31">
      <c r="D31" s="36" t="n"/>
      <c r="E31" s="36" t="n"/>
    </row>
    <row r="32">
      <c r="D32" s="36" t="n"/>
      <c r="E32" s="36" t="n"/>
    </row>
    <row r="33">
      <c r="D33" s="36" t="n"/>
      <c r="E33" s="36" t="n"/>
    </row>
    <row r="34">
      <c r="D34" s="36" t="n"/>
      <c r="E34" s="36" t="n"/>
    </row>
    <row r="35">
      <c r="D35" s="36" t="n"/>
      <c r="E35" s="36" t="n"/>
    </row>
    <row r="36">
      <c r="D36" s="36" t="n"/>
      <c r="E36" s="36" t="n"/>
    </row>
    <row r="37">
      <c r="D37" s="36" t="n"/>
      <c r="E37" s="36" t="n"/>
    </row>
    <row r="38">
      <c r="D38" s="36" t="n"/>
      <c r="E38" s="36" t="n"/>
    </row>
    <row r="39">
      <c r="D39" s="36" t="n"/>
      <c r="E39" s="36" t="n"/>
    </row>
    <row r="40">
      <c r="D40" s="36" t="n"/>
      <c r="E40" s="36" t="n"/>
    </row>
    <row r="41">
      <c r="D41" s="36" t="n"/>
      <c r="E41" s="36" t="n"/>
    </row>
    <row r="42">
      <c r="D42" s="36" t="n"/>
      <c r="E42" s="36" t="n"/>
    </row>
    <row r="43">
      <c r="D43" s="36" t="n"/>
      <c r="E43" s="36" t="n"/>
    </row>
    <row r="44">
      <c r="D44" s="36" t="n"/>
      <c r="E44" s="36" t="n"/>
    </row>
    <row r="45">
      <c r="D45" s="36" t="n"/>
      <c r="E45" s="36" t="n"/>
    </row>
    <row r="46">
      <c r="D46" s="36" t="n"/>
      <c r="E46" s="36" t="n"/>
    </row>
    <row r="47">
      <c r="D47" s="36" t="n"/>
      <c r="E47" s="36" t="n"/>
    </row>
    <row r="48">
      <c r="D48" s="36" t="n"/>
      <c r="E48" s="36" t="n"/>
    </row>
    <row r="49">
      <c r="D49" s="36" t="n"/>
      <c r="E49" s="36" t="n"/>
    </row>
    <row r="50">
      <c r="D50" s="36" t="n"/>
      <c r="E50" s="36" t="n"/>
    </row>
    <row r="51">
      <c r="D51" s="36" t="n"/>
      <c r="E51" s="36" t="n"/>
    </row>
    <row r="52">
      <c r="D52" s="36" t="n"/>
      <c r="E52" s="36" t="n"/>
    </row>
    <row r="53">
      <c r="D53" s="36" t="n"/>
      <c r="E53" s="36" t="n"/>
    </row>
    <row r="54">
      <c r="D54" s="36" t="n"/>
      <c r="E54" s="36" t="n"/>
    </row>
    <row r="55">
      <c r="D55" s="36" t="n"/>
      <c r="E55" s="36" t="n"/>
    </row>
    <row r="56">
      <c r="D56" s="36" t="n"/>
      <c r="E56" s="36" t="n"/>
    </row>
    <row r="57">
      <c r="D57" s="36" t="n"/>
      <c r="E57" s="36" t="n"/>
    </row>
    <row r="58">
      <c r="D58" s="36" t="n"/>
      <c r="E58" s="36" t="n"/>
    </row>
    <row r="59">
      <c r="D59" s="36" t="n"/>
      <c r="E59" s="36" t="n"/>
    </row>
    <row r="60">
      <c r="D60" s="36" t="n"/>
      <c r="E60" s="36" t="n"/>
    </row>
    <row r="61">
      <c r="D61" s="36" t="n"/>
      <c r="E61" s="36" t="n"/>
    </row>
    <row r="62">
      <c r="D62" s="36" t="n"/>
      <c r="E62" s="36" t="n"/>
    </row>
    <row r="63">
      <c r="D63" s="36" t="n"/>
      <c r="E63" s="36" t="n"/>
    </row>
    <row r="64">
      <c r="D64" s="36" t="n"/>
      <c r="E64" s="36" t="n"/>
    </row>
    <row r="65">
      <c r="D65" s="36" t="n"/>
      <c r="E65" s="36" t="n"/>
    </row>
    <row r="66">
      <c r="D66" s="36" t="n"/>
      <c r="E66" s="36" t="n"/>
    </row>
    <row r="67">
      <c r="D67" s="36" t="n"/>
      <c r="E67" s="36" t="n"/>
    </row>
    <row r="68">
      <c r="D68" s="36" t="n"/>
      <c r="E68" s="36" t="n"/>
    </row>
    <row r="69">
      <c r="D69" s="36" t="n"/>
      <c r="E69" s="36" t="n"/>
    </row>
    <row r="70">
      <c r="D70" s="36" t="n"/>
      <c r="E70" s="36" t="n"/>
    </row>
    <row r="71">
      <c r="D71" s="36" t="n"/>
      <c r="E71" s="36" t="n"/>
    </row>
    <row r="72">
      <c r="D72" s="36" t="n"/>
      <c r="E72" s="36" t="n"/>
    </row>
    <row r="73">
      <c r="D73" s="36" t="n"/>
      <c r="E73" s="36" t="n"/>
    </row>
    <row r="74">
      <c r="D74" s="36" t="n"/>
      <c r="E74" s="36" t="n"/>
    </row>
    <row r="75">
      <c r="D75" s="36" t="n"/>
      <c r="E75" s="36" t="n"/>
    </row>
    <row r="76">
      <c r="D76" s="36" t="n"/>
      <c r="E76" s="36" t="n"/>
    </row>
    <row r="77">
      <c r="D77" s="36" t="n"/>
      <c r="E77" s="36" t="n"/>
    </row>
    <row r="78">
      <c r="D78" s="36" t="n"/>
      <c r="E78" s="36" t="n"/>
    </row>
    <row r="79">
      <c r="D79" s="36" t="n"/>
      <c r="E79" s="36" t="n"/>
    </row>
    <row r="80">
      <c r="D80" s="36" t="n"/>
      <c r="E80" s="36" t="n"/>
    </row>
    <row r="81">
      <c r="D81" s="36" t="n"/>
      <c r="E81" s="36" t="n"/>
    </row>
    <row r="82">
      <c r="D82" s="36" t="n"/>
      <c r="E82" s="36" t="n"/>
    </row>
    <row r="83">
      <c r="D83" s="36" t="n"/>
      <c r="E83" s="36" t="n"/>
    </row>
    <row r="84">
      <c r="D84" s="36" t="n"/>
      <c r="E84" s="36" t="n"/>
    </row>
    <row r="85">
      <c r="D85" s="36" t="n"/>
      <c r="E85" s="36" t="n"/>
    </row>
    <row r="86">
      <c r="D86" s="36" t="n"/>
      <c r="E86" s="36" t="n"/>
    </row>
    <row r="87">
      <c r="D87" s="36" t="n"/>
      <c r="E87" s="36" t="n"/>
    </row>
    <row r="88">
      <c r="D88" s="36" t="n"/>
      <c r="E88" s="36" t="n"/>
    </row>
    <row r="89">
      <c r="D89" s="36" t="n"/>
      <c r="E89" s="36" t="n"/>
    </row>
    <row r="90">
      <c r="D90" s="36" t="n"/>
      <c r="E90" s="36" t="n"/>
    </row>
    <row r="91">
      <c r="D91" s="36" t="n"/>
      <c r="E91" s="36" t="n"/>
    </row>
    <row r="92">
      <c r="D92" s="36" t="n"/>
      <c r="E92" s="36" t="n"/>
    </row>
    <row r="93">
      <c r="D93" s="36" t="n"/>
      <c r="E93" s="36" t="n"/>
    </row>
    <row r="94">
      <c r="D94" s="36" t="n"/>
      <c r="E94" s="36" t="n"/>
    </row>
    <row r="95">
      <c r="D95" s="36" t="n"/>
      <c r="E95" s="36" t="n"/>
    </row>
    <row r="96">
      <c r="D96" s="36" t="n"/>
      <c r="E96" s="36" t="n"/>
    </row>
    <row r="97">
      <c r="D97" s="36" t="n"/>
      <c r="E97" s="36" t="n"/>
    </row>
    <row r="98">
      <c r="D98" s="36" t="n"/>
      <c r="E98" s="36" t="n"/>
    </row>
    <row r="99">
      <c r="D99" s="36" t="n"/>
      <c r="E99" s="36" t="n"/>
    </row>
    <row r="100">
      <c r="D100" s="36" t="n"/>
      <c r="E100" s="36" t="n"/>
    </row>
    <row r="101">
      <c r="D101" s="36" t="n"/>
      <c r="E101" s="36" t="n"/>
    </row>
    <row r="102">
      <c r="D102" s="36" t="n"/>
      <c r="E102" s="36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CBL Analytics</dc:creator>
  <dc:title xmlns:dc="http://purl.org/dc/elements/1.1/">Tropic Ridge Wind Farm</dc:title>
  <dcterms:created xmlns:dcterms="http://purl.org/dc/terms/" xmlns:xsi="http://www.w3.org/2001/XMLSchema-instance" xsi:type="dcterms:W3CDTF">2026-10-08T05:01:06Z</dcterms:created>
  <dcterms:modified xmlns:dcterms="http://purl.org/dc/terms/" xmlns:xsi="http://www.w3.org/2001/XMLSchema-instance" xsi:type="dcterms:W3CDTF">2026-10-08T05:01:07Z</dcterms:modified>
</cp:coreProperties>
</file>