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TOC &amp; Instructions" sheetId="1" state="visible" r:id="rId1"/>
    <sheet xmlns:r="http://schemas.openxmlformats.org/officeDocument/2006/relationships" name="Charts" sheetId="2" state="visible" r:id="rId2"/>
    <sheet xmlns:r="http://schemas.openxmlformats.org/officeDocument/2006/relationships" name="Risk Register" sheetId="3" state="visible" r:id="rId3"/>
    <sheet xmlns:r="http://schemas.openxmlformats.org/officeDocument/2006/relationships" name="EMV &amp; Mode Analysis" sheetId="4" state="visible" r:id="rId4"/>
    <sheet xmlns:r="http://schemas.openxmlformats.org/officeDocument/2006/relationships" name="Simulation" sheetId="5" state="visible" r:id="rId5"/>
    <sheet xmlns:r="http://schemas.openxmlformats.org/officeDocument/2006/relationships" name="Lists" sheetId="6" state="visible" r:id="rId6"/>
    <sheet xmlns:r="http://schemas.openxmlformats.org/officeDocument/2006/relationships" name="Mapping" sheetId="7" state="visible" r:id="rId7"/>
    <sheet xmlns:r="http://schemas.openxmlformats.org/officeDocument/2006/relationships" name="MC_Params" sheetId="8" state="visible" r:id="rId8"/>
    <sheet xmlns:r="http://schemas.openxmlformats.org/officeDocument/2006/relationships" name="Methodology" sheetId="9" state="visible" r:id="rId9"/>
    <sheet xmlns:r="http://schemas.openxmlformats.org/officeDocument/2006/relationships" name="Settings" sheetId="10" state="visible" r:id="rId10"/>
    <sheet xmlns:r="http://schemas.openxmlformats.org/officeDocument/2006/relationships" name="Layer1_Base" sheetId="11" state="visible" r:id="rId11"/>
    <sheet xmlns:r="http://schemas.openxmlformats.org/officeDocument/2006/relationships" name="Layer1_Factors" sheetId="12" state="visible" r:id="rId12"/>
    <sheet xmlns:r="http://schemas.openxmlformats.org/officeDocument/2006/relationships" name="Layer1_Allocation" sheetId="13" state="visible" r:id="rId13"/>
    <sheet xmlns:r="http://schemas.openxmlformats.org/officeDocument/2006/relationships" name="Layer1_Correlation" sheetId="14" state="visible" r:id="rId14"/>
    <sheet xmlns:r="http://schemas.openxmlformats.org/officeDocument/2006/relationships" name="Reference (xlwings)" sheetId="15" state="visible" r:id="rId15"/>
    <sheet xmlns:r="http://schemas.openxmlformats.org/officeDocument/2006/relationships" name="Handoff Prompt" sheetId="16" state="visible" r:id="rId16"/>
    <sheet xmlns:r="http://schemas.openxmlformats.org/officeDocument/2006/relationships" name="Build Log" sheetId="17" state="visible" r:id="rId17"/>
    <sheet xmlns:r="http://schemas.openxmlformats.org/officeDocument/2006/relationships" name="Polish Inbox" sheetId="18" state="visible" r:id="rId18"/>
    <sheet xmlns:r="http://schemas.openxmlformats.org/officeDocument/2006/relationships" name="Reference (polish)" sheetId="19" state="visible" r:id="rId19"/>
  </sheets>
  <definedNames>
    <definedName name="List_Distribution">OFFSET(Lists!$A$3,0,0,MAX(COUNTA(Lists!$A$3:$A$1000),1),1)</definedName>
    <definedName name="List_MCInclude">OFFSET(Lists!$B$3,0,0,MAX(COUNTA(Lists!$B$3:$B$1000),1),1)</definedName>
    <definedName name="List_TimeImpact">OFFSET(Lists!$C$3,0,0,MAX(COUNTA(Lists!$C$3:$C$1000),1),1)</definedName>
    <definedName name="List_Recurrence">OFFSET(Lists!$D$3,0,0,MAX(COUNTA(Lists!$D$3:$D$1000),1),1)</definedName>
    <definedName name="List_Mode">OFFSET(Lists!$E$3,0,0,MAX(COUNTA(Lists!$E$3:$E$1000),1),1)</definedName>
    <definedName name="List_CGCode">OFFSET(Lists!$F$3,0,0,MAX(COUNTA(Lists!$F$3:$F$1000),1),1)</definedName>
    <definedName name="List_RBS_L1">OFFSET(Lists!$G$3,0,0,MAX(COUNTA(Lists!$G$3:$G$1000),1),1)</definedName>
    <definedName name="List_RBS_L2">OFFSET(Lists!$H$3,0,0,MAX(COUNTA(Lists!$H$3:$H$1000),1),1)</definedName>
    <definedName name="List_Package">OFFSET(Lists!$I$3,0,0,MAX(COUNTA(Lists!$I$3:$I$1000),1),1)</definedName>
    <definedName name="List_Factor">OFFSET(Lists!$J$3,0,0,MAX(COUNTA(Lists!$J$3:$J$1000),1),1)</definedName>
    <definedName name="MC_day_rate">'MC_Params'!$C$15</definedName>
    <definedName name="Set_iterations">Settings!$B$1</definedName>
    <definedName name="Set_seed">Settings!$B$2</definedName>
    <definedName name="Set_view">Settings!$B$3</definedName>
    <definedName name="Set_risk_prefix">Settings!$B$4</definedName>
    <definedName name="Set_iterations_max">Settings!$B$5</definedName>
    <definedName name="Set_ContractVersion">Settings!$B$6</definedName>
    <definedName name="Set_Layer1_Enabled">Settings!$B$8</definedName>
    <definedName name="Out_ptable">Simulation!$A$2:$B$20</definedName>
    <definedName name="Out_scurve">Simulation!$D$2:$E$102</definedName>
    <definedName name="Corr_flag">Simulation!$H$1</definedName>
    <definedName name="Out_conv_halfwidth">Simulation!$H$3</definedName>
    <definedName name="Out_conv_pct">Simulation!$H$4</definedName>
    <definedName name="Out_triple">Simulation!$I$2:$L$20</definedName>
    <definedName name="Out_validation">Simulation!$N$2:$N$3</definedName>
    <definedName name="Grid_RiskRegister">'Risk Register'!$A$1:$AE$39</definedName>
    <definedName name="Grid_Layer1_Base">'Layer1_Base'!$A$1:$I$12</definedName>
    <definedName name="Grid_Layer1_Factors">'Layer1_Factors'!$A$1:$F$15</definedName>
    <definedName name="Grid_Layer1_Allocation">'Layer1_Allocation'!$A$1:$I$15</definedName>
    <definedName name="Grid_Layer1_Correlation">'Layer1_Correlation'!$A$1:$H$11</definedName>
    <definedName name="Grid_Methodology">'Methodology'!$A$1:$C$23</definedName>
    <definedName name="Grid_Mapping">'Mapping'!$A$1:$F$11</definedName>
    <definedName name="Set_ProjectName">'TOC &amp; Instructions'!$B$58</definedName>
    <definedName name="Set_ProjectNumber">'TOC &amp; Instructions'!$B$59</definedName>
    <definedName name="Set_Client">'TOC &amp; Instructions'!$B$60</definedName>
    <definedName name="Set_PreparedBy">'TOC &amp; Instructions'!$B$61</definedName>
    <definedName name="Set_Revision">'TOC &amp; Instructions'!$B$62</definedName>
    <definedName name="Set_IssueDate">'TOC &amp; Instructions'!$B$63</definedName>
    <definedName name="_xlnm._FilterDatabase" localSheetId="2" hidden="1">'Risk Register'!$A$4:$AE$39</definedName>
    <definedName name="_xlnm.Print_Titles" localSheetId="2">'Risk Register'!$3:$4</definedName>
    <definedName name="_xlnm.Print_Area" localSheetId="2">'Risk Register'!$A$1:$AE$39</definedName>
    <definedName name="_xlnm.Print_Area" localSheetId="13">'Layer1_Correlation'!$A$4:$H$11</definedName>
  </definedNames>
  <calcPr calcId="124519" fullCalcOnLoad="1"/>
</workbook>
</file>

<file path=xl/styles.xml><?xml version="1.0" encoding="utf-8"?>
<styleSheet xmlns="http://schemas.openxmlformats.org/spreadsheetml/2006/main">
  <numFmts count="9">
    <numFmt numFmtId="164" formatCode="\$#,##0"/>
    <numFmt numFmtId="165" formatCode="0.0"/>
    <numFmt numFmtId="166" formatCode="$#,##0;($#,##0);-"/>
    <numFmt numFmtId="167" formatCode="$#,##0"/>
    <numFmt numFmtId="168" formatCode="#,##0.0"/>
    <numFmt numFmtId="169" formatCode="&quot;P&quot;0"/>
    <numFmt numFmtId="170" formatCode="0.000&quot;%&quot;"/>
    <numFmt numFmtId="171" formatCode="#,##0.0;(#,##0.0);-"/>
    <numFmt numFmtId="172" formatCode="0.0%;(0.0%);-"/>
  </numFmts>
  <fonts count="28">
    <font>
      <name val="Calibri"/>
      <family val="2"/>
      <color theme="1"/>
      <sz val="11"/>
      <scheme val="minor"/>
    </font>
    <font>
      <b val="1"/>
      <color rgb="00FFFFFF"/>
      <sz val="10"/>
    </font>
    <font>
      <b val="1"/>
      <i val="1"/>
      <sz val="9"/>
    </font>
    <font>
      <b val="1"/>
      <sz val="9"/>
    </font>
    <font>
      <color rgb="000000CC"/>
    </font>
    <font>
      <b val="1"/>
      <color rgb="00231EDC"/>
      <sz val="13"/>
    </font>
    <font>
      <i val="1"/>
      <color rgb="00666666"/>
      <sz val="8"/>
    </font>
    <font>
      <b val="1"/>
      <sz val="10"/>
    </font>
    <font>
      <b val="1"/>
      <color rgb="00231EDC"/>
      <sz val="14"/>
    </font>
    <font>
      <i val="1"/>
      <color rgb="00666666"/>
      <sz val="9"/>
    </font>
    <font>
      <b val="1"/>
      <sz val="11"/>
    </font>
    <font>
      <color rgb="00000000"/>
    </font>
    <font>
      <name val="Consolas"/>
      <sz val="9"/>
    </font>
    <font>
      <name val="Consolas"/>
      <b val="1"/>
      <sz val="9"/>
    </font>
    <font>
      <b val="1"/>
    </font>
    <font>
      <b val="1"/>
      <color rgb="FF1F4E79"/>
      <sz val="14"/>
    </font>
    <font>
      <i val="1"/>
      <color rgb="FF808080"/>
      <sz val="9"/>
    </font>
    <font>
      <b val="1"/>
      <color rgb="FF808080"/>
      <sz val="9"/>
    </font>
    <font>
      <b val="1"/>
      <color rgb="00FFFFFF"/>
    </font>
    <font>
      <b val="1"/>
      <color rgb="FFFFFFFF"/>
    </font>
    <font>
      <b val="1"/>
      <color rgb="FF1F4E79"/>
      <sz val="11"/>
    </font>
    <font>
      <b val="1"/>
      <color rgb="00C55A11"/>
      <sz val="14"/>
    </font>
    <font>
      <i val="1"/>
      <color rgb="00808080"/>
      <sz val="9"/>
    </font>
    <font>
      <i val="1"/>
      <color rgb="00808080"/>
    </font>
    <font>
      <name val="Calibri"/>
      <b val="1"/>
      <color rgb="001F4E79"/>
      <sz val="13"/>
    </font>
    <font>
      <name val="Consolas"/>
      <b val="1"/>
      <color rgb="00FFFFFF"/>
      <sz val="9"/>
    </font>
    <font>
      <name val="Calibri"/>
      <b val="1"/>
      <color rgb="00548235"/>
      <sz val="15"/>
    </font>
    <font>
      <b val="1"/>
      <color rgb="FF1F4E79"/>
      <sz val="16"/>
    </font>
  </fonts>
  <fills count="18">
    <fill>
      <patternFill/>
    </fill>
    <fill>
      <patternFill patternType="gray125"/>
    </fill>
    <fill>
      <patternFill patternType="solid">
        <fgColor rgb="00231EDC"/>
      </patternFill>
    </fill>
    <fill>
      <patternFill patternType="solid">
        <fgColor rgb="00DCE9FF"/>
      </patternFill>
    </fill>
    <fill>
      <patternFill patternType="solid">
        <fgColor rgb="00E4F6FF"/>
      </patternFill>
    </fill>
    <fill>
      <patternFill patternType="solid">
        <fgColor rgb="00EAF7EC"/>
      </patternFill>
    </fill>
    <fill>
      <patternFill patternType="solid">
        <fgColor rgb="00FDEBD0"/>
      </patternFill>
    </fill>
    <fill>
      <patternFill patternType="solid">
        <fgColor rgb="00D9D9D9"/>
      </patternFill>
    </fill>
    <fill>
      <patternFill patternType="solid">
        <fgColor rgb="00FCE4B6"/>
      </patternFill>
    </fill>
    <fill>
      <patternFill patternType="solid">
        <fgColor rgb="00DDEBF7"/>
      </patternFill>
    </fill>
    <fill>
      <patternFill patternType="solid">
        <fgColor rgb="00F2F2F2"/>
      </patternFill>
    </fill>
    <fill>
      <patternFill patternType="solid">
        <fgColor rgb="FF2E75B6"/>
      </patternFill>
    </fill>
    <fill>
      <patternFill patternType="solid">
        <fgColor rgb="FF548235"/>
      </patternFill>
    </fill>
    <fill>
      <patternFill patternType="solid">
        <fgColor rgb="FF7F7F7F"/>
      </patternFill>
    </fill>
    <fill>
      <patternFill patternType="solid">
        <fgColor rgb="FFC55A11"/>
      </patternFill>
    </fill>
    <fill>
      <patternFill patternType="solid">
        <fgColor rgb="FF1F4E79"/>
      </patternFill>
    </fill>
    <fill>
      <patternFill patternType="solid">
        <fgColor rgb="001F4E79"/>
      </patternFill>
    </fill>
    <fill>
      <patternFill patternType="solid">
        <fgColor rgb="FFE2EFDA"/>
      </patternFill>
    </fill>
  </fills>
  <borders count="3">
    <border>
      <left/>
      <right/>
      <top/>
      <bottom/>
      <diagonal/>
    </border>
    <border>
      <left style="medium">
        <color rgb="00231EDC"/>
      </left>
    </border>
    <border>
      <left style="thin">
        <color rgb="00231EDC"/>
      </left>
      <right style="thin">
        <color rgb="00231EDC"/>
      </right>
      <top style="thin">
        <color rgb="00231EDC"/>
      </top>
      <bottom style="thin">
        <color rgb="00231EDC"/>
      </bottom>
    </border>
  </borders>
  <cellStyleXfs count="1">
    <xf numFmtId="0" fontId="0" fillId="0" borderId="0"/>
  </cellStyleXfs>
  <cellXfs count="86">
    <xf numFmtId="0"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4" fillId="0" borderId="0" pivotButton="0" quotePrefix="0" xfId="0"/>
    <xf numFmtId="0" fontId="4" fillId="0" borderId="0" pivotButton="0" quotePrefix="0" xfId="0"/>
    <xf numFmtId="0" fontId="0" fillId="8" borderId="0" pivotButton="0" quotePrefix="0" xfId="0"/>
    <xf numFmtId="0" fontId="0" fillId="0" borderId="2" pivotButton="0" quotePrefix="0" xfId="0"/>
    <xf numFmtId="0" fontId="4" fillId="0" borderId="2" applyProtection="1" pivotButton="0" quotePrefix="0" xfId="0">
      <protection locked="0" hidden="0"/>
    </xf>
    <xf numFmtId="0" fontId="2" fillId="3" borderId="2" applyAlignment="1" pivotButton="0" quotePrefix="0" xfId="0">
      <alignment horizontal="centerContinuous"/>
    </xf>
    <xf numFmtId="0" fontId="2" fillId="4" borderId="2" applyAlignment="1" pivotButton="0" quotePrefix="0" xfId="0">
      <alignment horizontal="centerContinuous"/>
    </xf>
    <xf numFmtId="0" fontId="2" fillId="5" borderId="2" applyAlignment="1" pivotButton="0" quotePrefix="0" xfId="0">
      <alignment horizontal="centerContinuous"/>
    </xf>
    <xf numFmtId="0" fontId="2" fillId="6" borderId="2" applyAlignment="1" pivotButton="0" quotePrefix="0" xfId="0">
      <alignment horizontal="centerContinuous"/>
    </xf>
    <xf numFmtId="0" fontId="1" fillId="2" borderId="2" applyAlignment="1" pivotButton="0" quotePrefix="0" xfId="0">
      <alignment horizontal="center" vertical="center" wrapText="1"/>
    </xf>
    <xf numFmtId="0" fontId="4" fillId="0" borderId="2" applyAlignment="1" applyProtection="1" pivotButton="0" quotePrefix="0" xfId="0">
      <alignment vertical="top" wrapText="1"/>
      <protection locked="0" hidden="0"/>
    </xf>
    <xf numFmtId="9" fontId="4" fillId="0" borderId="2" applyProtection="1" pivotButton="0" quotePrefix="0" xfId="0">
      <protection locked="0" hidden="0"/>
    </xf>
    <xf numFmtId="164" fontId="4" fillId="0" borderId="2" applyProtection="1" pivotButton="0" quotePrefix="0" xfId="0">
      <protection locked="0" hidden="0"/>
    </xf>
    <xf numFmtId="165" fontId="4" fillId="0" borderId="2" applyProtection="1" pivotButton="0" quotePrefix="0" xfId="0">
      <protection locked="0" hidden="0"/>
    </xf>
    <xf numFmtId="164" fontId="0" fillId="0" borderId="2" pivotButton="0" quotePrefix="0" xfId="0"/>
    <xf numFmtId="165" fontId="0" fillId="0" borderId="2" pivotButton="0" quotePrefix="0" xfId="0"/>
    <xf numFmtId="0" fontId="3" fillId="0" borderId="0" pivotButton="0" quotePrefix="0" xfId="0"/>
    <xf numFmtId="0" fontId="4" fillId="0" borderId="0" applyProtection="1" pivotButton="0" quotePrefix="0" xfId="0">
      <protection locked="0" hidden="0"/>
    </xf>
    <xf numFmtId="0" fontId="0" fillId="0" borderId="0" applyProtection="1" pivotButton="0" quotePrefix="0" xfId="0">
      <protection locked="0" hidden="0"/>
    </xf>
    <xf numFmtId="164" fontId="0" fillId="0" borderId="2" applyProtection="1" pivotButton="0" quotePrefix="0" xfId="0">
      <protection locked="0" hidden="0"/>
    </xf>
    <xf numFmtId="0" fontId="5" fillId="0" borderId="0" pivotButton="0" quotePrefix="0" xfId="0"/>
    <xf numFmtId="0" fontId="6" fillId="0" borderId="0" pivotButton="0" quotePrefix="0" xfId="0"/>
    <xf numFmtId="0" fontId="7" fillId="0" borderId="0" pivotButton="0" quotePrefix="0" xfId="0"/>
    <xf numFmtId="0" fontId="14" fillId="9" borderId="2" pivotButton="0" quotePrefix="0" xfId="0"/>
    <xf numFmtId="2" fontId="0" fillId="10" borderId="2" pivotButton="0" quotePrefix="0" xfId="0"/>
    <xf numFmtId="0" fontId="0" fillId="7" borderId="2" pivotButton="0" quotePrefix="0" xfId="0"/>
    <xf numFmtId="2" fontId="4" fillId="0" borderId="2" applyProtection="1" pivotButton="0" quotePrefix="0" xfId="0">
      <protection locked="0" hidden="0"/>
    </xf>
    <xf numFmtId="2" fontId="0" fillId="0" borderId="2" pivotButton="0" quotePrefix="0" xfId="0"/>
    <xf numFmtId="0" fontId="12" fillId="0" borderId="0" pivotButton="0" quotePrefix="0" xfId="0"/>
    <xf numFmtId="0" fontId="9" fillId="0" borderId="0" applyAlignment="1" pivotButton="0" quotePrefix="0" xfId="0">
      <alignment vertical="top" wrapText="1"/>
    </xf>
    <xf numFmtId="0" fontId="13" fillId="0" borderId="0" pivotButton="0" quotePrefix="0" xfId="0"/>
    <xf numFmtId="0" fontId="0" fillId="8" borderId="0" applyProtection="1" pivotButton="0" quotePrefix="0" xfId="0">
      <protection locked="0" hidden="0"/>
    </xf>
    <xf numFmtId="0" fontId="27" fillId="0" borderId="0" pivotButton="0" quotePrefix="0" xfId="0"/>
    <xf numFmtId="0" fontId="18" fillId="15" borderId="0" pivotButton="0" quotePrefix="0" xfId="0"/>
    <xf numFmtId="0" fontId="0" fillId="17" borderId="0" pivotButton="0" quotePrefix="0" xfId="0"/>
    <xf numFmtId="0" fontId="15" fillId="0" borderId="0" pivotButton="0" quotePrefix="0" xfId="0"/>
    <xf numFmtId="0" fontId="16" fillId="0" borderId="0" pivotButton="0" quotePrefix="0" xfId="0"/>
    <xf numFmtId="0" fontId="17" fillId="0" borderId="0" pivotButton="0" quotePrefix="0" xfId="0"/>
    <xf numFmtId="166" fontId="0" fillId="0" borderId="0" pivotButton="0" quotePrefix="0" xfId="0"/>
    <xf numFmtId="1" fontId="0" fillId="0" borderId="0" pivotButton="0" quotePrefix="0" xfId="0"/>
    <xf numFmtId="167" fontId="0" fillId="0" borderId="0" pivotButton="0" quotePrefix="0" xfId="0"/>
    <xf numFmtId="9" fontId="0" fillId="0" borderId="0" pivotButton="0" quotePrefix="0" xfId="0"/>
    <xf numFmtId="0" fontId="18" fillId="11" borderId="2" applyAlignment="1" pivotButton="0" quotePrefix="0" xfId="0">
      <alignment horizontal="centerContinuous"/>
    </xf>
    <xf numFmtId="0" fontId="18" fillId="12" borderId="2" applyAlignment="1" pivotButton="0" quotePrefix="0" xfId="0">
      <alignment horizontal="centerContinuous"/>
    </xf>
    <xf numFmtId="0" fontId="18" fillId="13" borderId="2" applyAlignment="1" pivotButton="0" quotePrefix="0" xfId="0">
      <alignment horizontal="centerContinuous"/>
    </xf>
    <xf numFmtId="0" fontId="18" fillId="14" borderId="2" applyAlignment="1" pivotButton="0" quotePrefix="0" xfId="0">
      <alignment horizontal="centerContinuous"/>
    </xf>
    <xf numFmtId="0" fontId="19" fillId="15" borderId="2" applyAlignment="1" pivotButton="0" quotePrefix="0" xfId="0">
      <alignment horizontal="center" vertical="center" wrapText="1"/>
    </xf>
    <xf numFmtId="166" fontId="4" fillId="0" borderId="2" applyProtection="1" pivotButton="0" quotePrefix="0" xfId="0">
      <protection locked="0" hidden="0"/>
    </xf>
    <xf numFmtId="168" fontId="4" fillId="0" borderId="2" applyProtection="1" pivotButton="0" quotePrefix="0" xfId="0">
      <protection locked="0" hidden="0"/>
    </xf>
    <xf numFmtId="166" fontId="0" fillId="0" borderId="2" pivotButton="0" quotePrefix="0" xfId="0"/>
    <xf numFmtId="168" fontId="0" fillId="0" borderId="2" pivotButton="0" quotePrefix="0" xfId="0"/>
    <xf numFmtId="166" fontId="14" fillId="0" borderId="0" pivotButton="0" quotePrefix="0" xfId="0"/>
    <xf numFmtId="0" fontId="19" fillId="15" borderId="0" applyAlignment="1" pivotButton="0" quotePrefix="0" xfId="0">
      <alignment horizontal="center" vertical="center" wrapText="1"/>
    </xf>
    <xf numFmtId="169" fontId="0" fillId="8" borderId="0" applyProtection="1" pivotButton="0" quotePrefix="0" xfId="0">
      <protection locked="0" hidden="0"/>
    </xf>
    <xf numFmtId="166" fontId="0" fillId="8" borderId="0" applyProtection="1" pivotButton="0" quotePrefix="0" xfId="0">
      <protection locked="0" hidden="0"/>
    </xf>
    <xf numFmtId="9" fontId="0" fillId="8" borderId="0" applyProtection="1" pivotButton="0" quotePrefix="0" xfId="0">
      <protection locked="0" hidden="0"/>
    </xf>
    <xf numFmtId="170" fontId="0" fillId="8" borderId="0" applyProtection="1" pivotButton="0" quotePrefix="0" xfId="0">
      <protection locked="0" hidden="0"/>
    </xf>
    <xf numFmtId="0" fontId="20" fillId="0" borderId="0" pivotButton="0" quotePrefix="0" xfId="0"/>
    <xf numFmtId="3" fontId="0" fillId="0" borderId="0" applyProtection="1" pivotButton="0" quotePrefix="0" xfId="0">
      <protection locked="0" hidden="0"/>
    </xf>
    <xf numFmtId="169" fontId="0" fillId="0" borderId="0" applyProtection="1" pivotButton="0" quotePrefix="0" xfId="0">
      <protection locked="0" hidden="0"/>
    </xf>
    <xf numFmtId="166" fontId="0" fillId="0" borderId="0" applyProtection="1" pivotButton="0" quotePrefix="0" xfId="0">
      <protection locked="0" hidden="0"/>
    </xf>
    <xf numFmtId="166" fontId="0" fillId="0" borderId="2" applyProtection="1" pivotButton="0" quotePrefix="0" xfId="0">
      <protection locked="0" hidden="0"/>
    </xf>
    <xf numFmtId="2" fontId="0" fillId="0" borderId="0" applyProtection="1" pivotButton="0" quotePrefix="0" xfId="0">
      <protection locked="0" hidden="0"/>
    </xf>
    <xf numFmtId="3" fontId="4" fillId="0" borderId="2" applyProtection="1" pivotButton="0" quotePrefix="0" xfId="0">
      <protection locked="0" hidden="0"/>
    </xf>
    <xf numFmtId="0" fontId="19" fillId="15" borderId="2" applyAlignment="1" applyProtection="1" pivotButton="0" quotePrefix="0" xfId="0">
      <alignment horizontal="center" vertical="center" wrapText="1"/>
      <protection locked="0" hidden="0"/>
    </xf>
    <xf numFmtId="171" fontId="4" fillId="0" borderId="2" applyProtection="1" pivotButton="0" quotePrefix="0" xfId="0">
      <protection locked="0" hidden="0"/>
    </xf>
    <xf numFmtId="172" fontId="4" fillId="0" borderId="2" applyProtection="1" pivotButton="0" quotePrefix="0" xfId="0">
      <protection locked="0" hidden="0"/>
    </xf>
    <xf numFmtId="0" fontId="4" fillId="0" borderId="2" applyAlignment="1" applyProtection="1" pivotButton="0" quotePrefix="0" xfId="0">
      <alignment horizontal="center" vertical="bottom"/>
      <protection locked="0" hidden="0"/>
    </xf>
    <xf numFmtId="0" fontId="14" fillId="0" borderId="2" pivotButton="0" quotePrefix="0" xfId="0"/>
    <xf numFmtId="2" fontId="0" fillId="10" borderId="2" applyAlignment="1" pivotButton="0" quotePrefix="0" xfId="0">
      <alignment horizontal="center" vertical="bottom"/>
    </xf>
    <xf numFmtId="2" fontId="0" fillId="7" borderId="2" applyAlignment="1" pivotButton="0" quotePrefix="0" xfId="0">
      <alignment horizontal="center" vertical="bottom"/>
    </xf>
    <xf numFmtId="2" fontId="4" fillId="0" borderId="2" applyAlignment="1" applyProtection="1" pivotButton="0" quotePrefix="0" xfId="0">
      <alignment horizontal="center" vertical="bottom"/>
      <protection locked="0" hidden="0"/>
    </xf>
    <xf numFmtId="49" fontId="26" fillId="0" borderId="0" pivotButton="0" quotePrefix="0" xfId="0"/>
    <xf numFmtId="49" fontId="12" fillId="0" borderId="0" pivotButton="0" quotePrefix="0" xfId="0"/>
    <xf numFmtId="49" fontId="25" fillId="16" borderId="0" pivotButton="0" quotePrefix="0" xfId="0"/>
    <xf numFmtId="49" fontId="0" fillId="0" borderId="0" applyAlignment="1" pivotButton="0" quotePrefix="0" xfId="0">
      <alignment vertical="top" wrapText="1"/>
    </xf>
    <xf numFmtId="0" fontId="21" fillId="0" borderId="0" pivotButton="0" quotePrefix="0" xfId="0"/>
    <xf numFmtId="0" fontId="22" fillId="0" borderId="0" pivotButton="0" quotePrefix="0" xfId="0"/>
    <xf numFmtId="0" fontId="18" fillId="16" borderId="0" applyAlignment="1" pivotButton="0" quotePrefix="0" xfId="0">
      <alignment horizontal="center" vertical="center" wrapText="1"/>
    </xf>
    <xf numFmtId="49" fontId="23" fillId="0" borderId="0" applyAlignment="1" pivotButton="0" quotePrefix="0" xfId="0">
      <alignment vertical="top" wrapText="1"/>
    </xf>
    <xf numFmtId="49" fontId="24" fillId="0" borderId="0" pivotButton="0" quotePrefix="0" xfId="0"/>
  </cellXfs>
  <cellStyles count="1">
    <cellStyle name="Normal" xfId="0" builtinId="0" hidden="0"/>
  </cellStyles>
  <dxfs count="1">
    <dxf>
      <fill>
        <patternFill patternType="solid">
          <fgColor rgb="FFFFC7CE"/>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Cost S-curve — cumulative distribution</a:t>
            </a:r>
          </a:p>
        </rich>
      </tx>
    </title>
    <plotArea>
      <scatterChart>
        <ser>
          <idx val="0"/>
          <order val="0"/>
          <tx>
            <strRef>
              <f>'Charts'!Y2</f>
            </strRef>
          </tx>
          <spPr>
            <a:ln xmlns:a="http://schemas.openxmlformats.org/drawingml/2006/main" w="28575">
              <a:solidFill>
                <a:srgbClr val="1F4E79"/>
              </a:solidFill>
              <a:prstDash val="solid"/>
            </a:ln>
          </spPr>
          <marker>
            <symbol val="none"/>
            <spPr>
              <a:ln xmlns:a="http://schemas.openxmlformats.org/drawingml/2006/main">
                <a:prstDash val="solid"/>
              </a:ln>
            </spPr>
          </marker>
          <xVal>
            <numRef>
              <f>'Charts'!$X$3:$X$103</f>
            </numRef>
          </xVal>
          <yVal>
            <numRef>
              <f>'Charts'!$Y$3:$Y$103</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Total cost ($)</a:t>
                </a:r>
              </a:p>
            </rich>
          </tx>
        </title>
        <numFmt formatCode="$#,##0,,&quot;M&quot;" sourceLinked="0"/>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Cumulative probability</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P-level cost outcomes (P5 – P95)</a:t>
            </a:r>
          </a:p>
        </rich>
      </tx>
    </title>
    <plotArea>
      <barChart>
        <barDir val="col"/>
        <grouping val="clustered"/>
        <ser>
          <idx val="0"/>
          <order val="0"/>
          <tx>
            <strRef>
              <f>'Charts'!AB2</f>
            </strRef>
          </tx>
          <spPr>
            <a:solidFill xmlns:a="http://schemas.openxmlformats.org/drawingml/2006/main">
              <a:srgbClr val="2E75B6"/>
            </a:solidFill>
            <a:ln xmlns:a="http://schemas.openxmlformats.org/drawingml/2006/main">
              <a:prstDash val="solid"/>
            </a:ln>
          </spPr>
          <cat>
            <numRef>
              <f>'Charts'!$AA$3:$AA$21</f>
            </numRef>
          </cat>
          <val>
            <numRef>
              <f>'Charts'!$AB$3:$AB$21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Confidence level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Total cost ($)</a:t>
                </a:r>
              </a:p>
            </rich>
          </tx>
        </title>
        <numFmt formatCode="$#,##0,,&quot;M&quot;"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Correlation sensitivity — ρ=0 vs elicited vs ρ=1</a:t>
            </a:r>
          </a:p>
        </rich>
      </tx>
    </title>
    <plotArea>
      <lineChart>
        <grouping val="standard"/>
        <ser>
          <idx val="0"/>
          <order val="0"/>
          <tx>
            <strRef>
              <f>'Charts'!AE2</f>
            </strRef>
          </tx>
          <spPr>
            <a:ln xmlns:a="http://schemas.openxmlformats.org/drawingml/2006/main" w="22225">
              <a:solidFill>
                <a:srgbClr val="7F7F7F"/>
              </a:solidFill>
              <a:prstDash val="solid"/>
            </a:ln>
          </spPr>
          <marker>
            <symbol val="none"/>
            <spPr>
              <a:ln xmlns:a="http://schemas.openxmlformats.org/drawingml/2006/main">
                <a:prstDash val="solid"/>
              </a:ln>
            </spPr>
          </marker>
          <cat>
            <numRef>
              <f>'Charts'!$AD$3:$AD$21</f>
            </numRef>
          </cat>
          <val>
            <numRef>
              <f>'Charts'!$AE$3:$AE$21</f>
            </numRef>
          </val>
          <smooth val="0"/>
        </ser>
        <ser>
          <idx val="1"/>
          <order val="1"/>
          <tx>
            <strRef>
              <f>'Charts'!AF2</f>
            </strRef>
          </tx>
          <spPr>
            <a:ln xmlns:a="http://schemas.openxmlformats.org/drawingml/2006/main" w="34925">
              <a:solidFill>
                <a:srgbClr val="1F4E79"/>
              </a:solidFill>
              <a:prstDash val="solid"/>
            </a:ln>
          </spPr>
          <marker>
            <symbol val="none"/>
            <spPr>
              <a:ln xmlns:a="http://schemas.openxmlformats.org/drawingml/2006/main">
                <a:prstDash val="solid"/>
              </a:ln>
            </spPr>
          </marker>
          <cat>
            <numRef>
              <f>'Charts'!$AD$3:$AD$21</f>
            </numRef>
          </cat>
          <val>
            <numRef>
              <f>'Charts'!$AF$3:$AF$21</f>
            </numRef>
          </val>
          <smooth val="0"/>
        </ser>
        <ser>
          <idx val="2"/>
          <order val="2"/>
          <tx>
            <strRef>
              <f>'Charts'!AG2</f>
            </strRef>
          </tx>
          <spPr>
            <a:ln xmlns:a="http://schemas.openxmlformats.org/drawingml/2006/main" w="22225">
              <a:solidFill>
                <a:srgbClr val="C00000"/>
              </a:solidFill>
              <a:prstDash val="solid"/>
            </a:ln>
          </spPr>
          <marker>
            <symbol val="none"/>
            <spPr>
              <a:ln xmlns:a="http://schemas.openxmlformats.org/drawingml/2006/main">
                <a:prstDash val="solid"/>
              </a:ln>
            </spPr>
          </marker>
          <cat>
            <numRef>
              <f>'Charts'!$AD$3:$AD$21</f>
            </numRef>
          </cat>
          <val>
            <numRef>
              <f>'Charts'!$AG$3:$AG$21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Total cost ($)</a:t>
                </a:r>
              </a:p>
            </rich>
          </tx>
        </title>
        <numFmt formatCode="$#,##0,,&quot;M&quot;"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Top 15 risks by cost EMV</a:t>
            </a:r>
          </a:p>
        </rich>
      </tx>
    </title>
    <plotArea>
      <barChart>
        <barDir val="bar"/>
        <grouping val="clustered"/>
        <ser>
          <idx val="0"/>
          <order val="0"/>
          <tx>
            <strRef>
              <f>'Charts'!T2</f>
            </strRef>
          </tx>
          <spPr>
            <a:solidFill xmlns:a="http://schemas.openxmlformats.org/drawingml/2006/main">
              <a:srgbClr val="C55A11"/>
            </a:solidFill>
            <a:ln xmlns:a="http://schemas.openxmlformats.org/drawingml/2006/main">
              <a:prstDash val="solid"/>
            </a:ln>
          </spPr>
          <cat>
            <numRef>
              <f>'Charts'!$S$3:$S$17</f>
            </numRef>
          </cat>
          <val>
            <numRef>
              <f>'Charts'!$T$3:$T$17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Cost EMV ($)</a:t>
                </a:r>
              </a:p>
            </rich>
          </tx>
        </title>
        <numFmt formatCode="$#,##0,&quot;k&quot;" sourceLinked="0"/>
        <majorTickMark val="none"/>
        <minorTickMark val="none"/>
        <crossAx val="100"/>
        <lblOffset val="100"/>
      </catAx>
      <valAx>
        <axId val="100"/>
        <scaling>
          <orientation val="maxMin"/>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Layer-1 EMV split — cost vs schedule</a:t>
            </a:r>
          </a:p>
        </rich>
      </tx>
    </title>
    <plotArea>
      <doughnutChart>
        <varyColors val="1"/>
        <ser>
          <idx val="0"/>
          <order val="0"/>
          <tx>
            <strRef>
              <f>'EMV &amp; Mode Analysis'!B87</f>
            </strRef>
          </tx>
          <spPr>
            <a:ln xmlns:a="http://schemas.openxmlformats.org/drawingml/2006/main">
              <a:prstDash val="solid"/>
            </a:ln>
          </spPr>
          <cat>
            <numRef>
              <f>'EMV &amp; Mode Analysis'!$A$88:$A$89</f>
            </numRef>
          </cat>
          <val>
            <numRef>
              <f>'EMV &amp; Mode Analysis'!$B$88:$B$89</f>
            </numRef>
          </val>
        </ser>
        <dLbls>
          <showVal val="0"/>
          <showCatName val="1"/>
          <showPercent val="1"/>
        </dLbls>
        <firstSliceAng val="0"/>
        <holeSize val="10"/>
      </doughnutChart>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Cost EMV by risk (mean $)</a:t>
            </a:r>
          </a:p>
        </rich>
      </tx>
    </title>
    <plotArea>
      <barChart>
        <barDir val="bar"/>
        <grouping val="clustered"/>
        <ser>
          <idx val="0"/>
          <order val="0"/>
          <tx>
            <strRef>
              <f>'EMV &amp; Mode Analysis'!B11</f>
            </strRef>
          </tx>
          <spPr>
            <a:ln xmlns:a="http://schemas.openxmlformats.org/drawingml/2006/main">
              <a:prstDash val="solid"/>
            </a:ln>
          </spPr>
          <cat>
            <strRef>
              <f>'EMV &amp; Mode Analysis'!$A$12:$A$46</f>
            </strRef>
          </cat>
          <val>
            <numRef>
              <f>'EMV &amp; Mode Analysis'!$B$12:$B$46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b"/>
        <majorGridlines/>
        <title>
          <tx>
            <rich>
              <a:bodyPr xmlns:a="http://schemas.openxmlformats.org/drawingml/2006/main"/>
              <a:p xmlns:a="http://schemas.openxmlformats.org/drawingml/2006/main">
                <a:pPr>
                  <a:defRPr/>
                </a:pPr>
                <a:r>
                  <a:t>Cost EMV ($)</a:t>
                </a:r>
              </a:p>
            </rich>
          </tx>
        </title>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Schedule EMV by risk (mean $)</a:t>
            </a:r>
          </a:p>
        </rich>
      </tx>
    </title>
    <plotArea>
      <barChart>
        <barDir val="col"/>
        <grouping val="clustered"/>
        <ser>
          <idx val="0"/>
          <order val="0"/>
          <tx>
            <strRef>
              <f>'EMV &amp; Mode Analysis'!B49</f>
            </strRef>
          </tx>
          <spPr>
            <a:ln xmlns:a="http://schemas.openxmlformats.org/drawingml/2006/main">
              <a:prstDash val="solid"/>
            </a:ln>
          </spPr>
          <cat>
            <strRef>
              <f>'EMV &amp; Mode Analysis'!$A$50:$A$84</f>
            </strRef>
          </cat>
          <val>
            <numRef>
              <f>'EMV &amp; Mode Analysis'!$B$50:$B$84</f>
            </numRef>
          </val>
        </ser>
        <gapWidth val="150"/>
        <axId val="10"/>
        <axId val="100"/>
      </barChart>
      <catAx>
        <axId val="10"/>
        <scaling>
          <orientation val="minMax"/>
        </scaling>
        <axPos val="b"/>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Schedule EMV ($)</a:t>
                </a:r>
              </a:p>
            </rich>
          </tx>
        </title>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Layer-1 EMV: cost vs schedule ($)</a:t>
            </a:r>
          </a:p>
        </rich>
      </tx>
    </title>
    <plotArea>
      <barChart>
        <barDir val="col"/>
        <grouping val="clustered"/>
        <ser>
          <idx val="0"/>
          <order val="0"/>
          <tx>
            <strRef>
              <f>'EMV &amp; Mode Analysis'!B87</f>
            </strRef>
          </tx>
          <spPr>
            <a:ln xmlns:a="http://schemas.openxmlformats.org/drawingml/2006/main">
              <a:prstDash val="solid"/>
            </a:ln>
          </spPr>
          <cat>
            <strRef>
              <f>'EMV &amp; Mode Analysis'!$A$88:$A$89</f>
            </strRef>
          </cat>
          <val>
            <numRef>
              <f>'EMV &amp; Mode Analysis'!$B$88:$B$89</f>
            </numRef>
          </val>
        </ser>
        <gapWidth val="150"/>
        <axId val="10"/>
        <axId val="100"/>
      </barChart>
      <catAx>
        <axId val="10"/>
        <scaling>
          <orientation val="minMax"/>
        </scaling>
        <axPos val="b"/>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EMV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s>
</file>

<file path=xl/drawings/drawing1.xml><?xml version="1.0" encoding="utf-8"?>
<wsDr xmlns="http://schemas.openxmlformats.org/drawingml/2006/spreadsheetDrawing">
  <oneCellAnchor>
    <from>
      <col>0</col>
      <colOff>0</colOff>
      <row>3</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row>
      <rowOff>0</rowOff>
    </from>
    <ext cx="54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22</row>
      <rowOff>0</rowOff>
    </from>
    <ext cx="540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22</row>
      <rowOff>0</rowOff>
    </from>
    <ext cx="5400000" cy="43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41</row>
      <rowOff>0</rowOff>
    </from>
    <ext cx="540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3</col>
      <colOff>0</colOff>
      <row>3</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23</row>
      <rowOff>0</rowOff>
    </from>
    <ext cx="57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43</row>
      <rowOff>0</rowOff>
    </from>
    <ext cx="36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A5A5A5"/>
    <outlinePr summaryBelow="1" summaryRight="1"/>
    <pageSetUpPr/>
  </sheetPr>
  <dimension ref="A1:C63"/>
  <sheetViews>
    <sheetView showGridLines="0" workbookViewId="0">
      <selection activeCell="A1" sqref="A1"/>
    </sheetView>
  </sheetViews>
  <sheetFormatPr baseColWidth="8" defaultRowHeight="15"/>
  <cols>
    <col width="34" customWidth="1" min="1" max="1"/>
    <col width="89" customWidth="1" min="2" max="2"/>
    <col width="60" customWidth="1" min="3" max="3"/>
  </cols>
  <sheetData>
    <row r="1">
      <c r="A1" s="37" t="inlineStr">
        <is>
          <t>Cost-QRA Register - project input document</t>
        </is>
      </c>
    </row>
    <row r="2">
      <c r="A2" s="2" t="inlineStr">
        <is>
          <t>Scaffolded once by tools/register_scaffold.py, then this file is yours - fill it in, it is standalone. Re-scaffolding is never run against a live register.</t>
        </is>
      </c>
    </row>
    <row r="3">
      <c r="A3" s="3" t="inlineStr">
        <is>
          <t>Register contract</t>
        </is>
      </c>
      <c r="B3" s="4">
        <f>Settings!B6</f>
        <v/>
      </c>
      <c r="C3" s="2" t="inlineStr">
        <is>
          <t>The engine checks this on every run and refuses on any mismatch. Shown here from Settings!B6, never typed twice.</t>
        </is>
      </c>
    </row>
    <row r="4">
      <c r="A4" s="38" t="inlineStr">
        <is>
          <t>Tabs, in the order you fill them (auto-generated from the sheet inventory)</t>
        </is>
      </c>
      <c r="B4" s="38" t="n"/>
    </row>
    <row r="5">
      <c r="A5" s="5" t="inlineStr">
        <is>
          <t>Charts</t>
        </is>
      </c>
      <c r="B5" t="inlineStr">
        <is>
          <t>Chart dashboard - S-curve, P-curve, correlation sensitivity, tornado, EMV split. Generated by tools/register_polish.py.</t>
        </is>
      </c>
      <c r="C5" s="2" t="inlineStr">
        <is>
          <t>you fill</t>
        </is>
      </c>
    </row>
    <row r="6">
      <c r="A6" s="5" t="inlineStr">
        <is>
          <t>Risk Register</t>
        </is>
      </c>
      <c r="B6" t="inlineStr">
        <is>
          <t>Event risks - cost + schedule three-point inputs, EMV.</t>
        </is>
      </c>
      <c r="C6" s="2" t="inlineStr">
        <is>
          <t>you fill</t>
        </is>
      </c>
    </row>
    <row r="7">
      <c r="A7" s="5" t="inlineStr">
        <is>
          <t>EMV &amp; Mode Analysis</t>
        </is>
      </c>
      <c r="B7" t="inlineStr">
        <is>
          <t>Deterministic Layer-1 EMV + Mode charts.</t>
        </is>
      </c>
      <c r="C7" s="2" t="inlineStr">
        <is>
          <t>you fill</t>
        </is>
      </c>
    </row>
    <row r="8">
      <c r="A8" s="5" t="inlineStr">
        <is>
          <t>Simulation</t>
        </is>
      </c>
      <c r="B8" t="inlineStr">
        <is>
          <t>Model write-back: P-curve, S-curve, convergence.</t>
        </is>
      </c>
      <c r="C8" s="2" t="inlineStr">
        <is>
          <t>you fill</t>
        </is>
      </c>
    </row>
    <row r="9">
      <c r="A9" s="5" t="inlineStr">
        <is>
          <t>Lists</t>
        </is>
      </c>
      <c r="B9" t="inlineStr">
        <is>
          <t>Cascade lists - edit here; the dropdowns follow.</t>
        </is>
      </c>
      <c r="C9" s="2" t="inlineStr">
        <is>
          <t>you fill</t>
        </is>
      </c>
    </row>
    <row r="10">
      <c r="A10" s="5" t="inlineStr">
        <is>
          <t>Mapping</t>
        </is>
      </c>
      <c r="B10" t="inlineStr">
        <is>
          <t>P6/CPM binding for schedule (Time=Yes) risks.</t>
        </is>
      </c>
      <c r="C10" s="2" t="inlineStr">
        <is>
          <t>you fill</t>
        </is>
      </c>
    </row>
    <row r="11">
      <c r="A11" s="5" t="inlineStr">
        <is>
          <t>MC_Params</t>
        </is>
      </c>
      <c r="B11" t="inlineStr">
        <is>
          <t>LIVE model parameters - TIC (C6), reporting P-level (C5), cascade params (C7:C14), CG coefficients and capex bases (C20:C31). MC_day_rate = MC_Params!$C$15 is part of the range contract. NOT legacy, and NOT safe to delete - Settings is the live RUN config, this is the live MODEL config.</t>
        </is>
      </c>
      <c r="C11" s="2" t="inlineStr">
        <is>
          <t>you fill</t>
        </is>
      </c>
    </row>
    <row r="12">
      <c r="A12" s="5" t="inlineStr">
        <is>
          <t>Methodology</t>
        </is>
      </c>
      <c r="B12" t="inlineStr">
        <is>
          <t>CG correlation coefficients + Mode multipliers.</t>
        </is>
      </c>
      <c r="C12" s="2" t="inlineStr">
        <is>
          <t>you fill</t>
        </is>
      </c>
    </row>
    <row r="13">
      <c r="A13" s="5" t="inlineStr">
        <is>
          <t>Settings</t>
        </is>
      </c>
      <c r="B13" t="inlineStr">
        <is>
          <t>Run settings (iterations/seed/view/prefix); the LIVE run-config surface.</t>
        </is>
      </c>
      <c r="C13" s="2" t="inlineStr">
        <is>
          <t>you fill</t>
        </is>
      </c>
    </row>
    <row r="14">
      <c r="A14" s="5" t="inlineStr">
        <is>
          <t>Layer1_Base</t>
        </is>
      </c>
      <c r="B14" t="inlineStr">
        <is>
          <t>Layer-1 base estimate matrix.</t>
        </is>
      </c>
      <c r="C14" s="2" t="inlineStr">
        <is>
          <t>you fill</t>
        </is>
      </c>
    </row>
    <row r="15">
      <c r="A15" s="5" t="inlineStr">
        <is>
          <t>Layer1_Factors</t>
        </is>
      </c>
      <c r="B15" t="inlineStr">
        <is>
          <t>Layer-1 risk factors.</t>
        </is>
      </c>
      <c r="C15" s="2" t="inlineStr">
        <is>
          <t>calculated</t>
        </is>
      </c>
    </row>
    <row r="16">
      <c r="A16" s="5" t="inlineStr">
        <is>
          <t>Layer1_Allocation</t>
        </is>
      </c>
      <c r="B16" t="inlineStr">
        <is>
          <t>Layer-1 factor x WBS allocation.</t>
        </is>
      </c>
      <c r="C16" s="2" t="inlineStr">
        <is>
          <t>model writes</t>
        </is>
      </c>
    </row>
    <row r="17">
      <c r="A17" s="5" t="inlineStr">
        <is>
          <t>Layer1_Correlation</t>
        </is>
      </c>
      <c r="B17" t="inlineStr">
        <is>
          <t>Layer-1 factor correlation matrix.</t>
        </is>
      </c>
      <c r="C17" s="2" t="inlineStr">
        <is>
          <t>reference</t>
        </is>
      </c>
    </row>
    <row r="18">
      <c r="A18" t="inlineStr">
        <is>
          <t>Reference (xlwings)</t>
        </is>
      </c>
      <c r="B18" t="inlineStr">
        <is>
          <t>xlwings requirements + @script (paste-once).</t>
        </is>
      </c>
    </row>
    <row r="19">
      <c r="A19" s="39" t="inlineStr">
        <is>
          <t>Handoff Prompt</t>
        </is>
      </c>
      <c r="B19" s="39" t="inlineStr">
        <is>
          <t>The presentation-layer brief, rendered from docs/polish_handoff.md.</t>
        </is>
      </c>
    </row>
    <row r="20">
      <c r="A20" t="inlineStr">
        <is>
          <t>Build Log</t>
        </is>
      </c>
      <c r="B20" t="inlineStr">
        <is>
          <t>Presentation-layer spec - every formatting/chart change, in order. Rendered from config/polish_spec.yaml.</t>
        </is>
      </c>
    </row>
    <row r="21">
      <c r="A21" t="inlineStr">
        <is>
          <t>Polish Inbox</t>
        </is>
      </c>
      <c r="B21" t="inlineStr">
        <is>
          <t>Append-only queue of PENDING presentation changes. The only place amendments are written.</t>
        </is>
      </c>
    </row>
    <row r="22">
      <c r="A22" t="inlineStr">
        <is>
          <t>Reference (polish)</t>
        </is>
      </c>
      <c r="B22" t="inlineStr">
        <is>
          <t>The op vocabulary for raising a Polish Inbox row. Generated from the code.</t>
        </is>
      </c>
    </row>
    <row r="23"/>
    <row r="24">
      <c r="A24" s="38" t="inlineStr">
        <is>
          <t>Cell-type legend</t>
        </is>
      </c>
      <c r="B24" s="38" t="n"/>
    </row>
    <row r="25">
      <c r="A25" t="inlineStr">
        <is>
          <t>input</t>
        </is>
      </c>
      <c r="B25" t="inlineStr">
        <is>
          <t>Blue font, unlocked - you fill this in.</t>
        </is>
      </c>
    </row>
    <row r="26">
      <c r="A26" s="3" t="inlineStr">
        <is>
          <t>calc</t>
        </is>
      </c>
      <c r="B26" t="inlineStr">
        <is>
          <t>Black font, locked - a live Excel formula (do not overwrite).</t>
        </is>
      </c>
    </row>
    <row r="27">
      <c r="A27" s="6" t="inlineStr">
        <is>
          <t>model</t>
        </is>
      </c>
      <c r="B27" t="inlineStr">
        <is>
          <t>Amber fill - written by the model each run; do not edit.</t>
        </is>
      </c>
    </row>
    <row r="28">
      <c r="A28" s="4" t="inlineStr">
        <is>
          <t>model-read</t>
        </is>
      </c>
      <c r="B28" t="inlineStr">
        <is>
          <t>Thin blue border - the Python model reads this cell (may also be an input).</t>
        </is>
      </c>
    </row>
    <row r="29">
      <c r="A29" s="38" t="inlineStr">
        <is>
          <t>Methodology defaults</t>
        </is>
      </c>
      <c r="B29" s="38" t="n"/>
    </row>
    <row r="30">
      <c r="B30" t="inlineStr">
        <is>
          <t>The Methodology tab ships with CG coefficients defaulted to 0.5 - review / elicit per project. Mode multipliers (Series 1.0 / Hybrid 0.5 / Parallel 0.0) are locked methodology constants.</t>
        </is>
      </c>
    </row>
    <row r="31"/>
    <row r="32">
      <c r="A32" s="38" t="inlineStr">
        <is>
          <t>Layer 1 - deterministic factor model (optional)</t>
        </is>
      </c>
      <c r="B32" s="38" t="n"/>
    </row>
    <row r="33">
      <c r="B33" t="inlineStr">
        <is>
          <t>The four Layer1_* tabs and the EMV &amp; Mode Analysis tab are STANDARD on every register, but Layer 1 ships OFF: Settings!Set_Layer1_Enabled = FALSE, so the blank grids have NIL impact and the register reads exactly as a cost-only project. The grids ship at their real shape, blank: Layer1_Base is 12 placeholder WBS rows x 8 resource columns, in $M; Layer1_Allocation is 25 factor rows x the same WBS columns; Layer1_Correlation is a 25-factor lower triangle. To use Layer 1: (1) on Layer1_Base rename the WBS rows you need and type each row's $M by column, then the Declared_Total. A row with no numbers is ignored, so type 0 for a genuine zero. (2) On Layer1_Allocation rename the same WBS columns to match Layer1_Base EXACTLY - the model matches the two by name and refuses a mismatch; unused placeholder columns can stay. List your factors on Layer1_Factors (pick names from the dropdown) and tick their WBS cells with x. (3) On Layer1_Correlation type the correlated factor names across row 4 and down column A in the same order, and the coefficients in the blue lower triangle; grey cells are never read, and a blank pair means 0. (4) ONLY THEN set Set_Layer1_Enabled = TRUE. Turning Layer 1 on before the grids are filled is refused with a message naming the tab. The EMV &amp; Mode Analysis tab (totals + charts) populates from the register EMV columns whenever the register is filled or a run happens. Leave the flag FALSE to keep Layer 1 off. A project needing more rows regenerates with build_template(n_layer1_wbs_rows=, n_layer1_factors=).</t>
        </is>
      </c>
    </row>
    <row r="34"/>
    <row r="35">
      <c r="A35" s="38" t="inlineStr">
        <is>
          <t>Sheet protection (REG04)</t>
        </is>
      </c>
      <c r="B35" s="38" t="n"/>
    </row>
    <row r="36">
      <c r="B36" t="inlineStr">
        <is>
          <t>The machine tabs are protected (no password): input cells are unlocked, the contract cells + formulas are locked, and the workbook structure is locked so tabs cannot be deleted/reordered. This guards against accidental edits - it does NOT stop you deleting a named range, so run Validate Contract after any structural edit. That is a task-pane item, not a button on any sheet, and it exists only after activation - see 'Running a simulation' below. To make deliberate changes, Review &gt; Unprotect Sheet.</t>
        </is>
      </c>
    </row>
    <row r="37"/>
    <row r="38">
      <c r="A38" s="3" t="inlineStr">
        <is>
          <t>Running a simulation</t>
        </is>
      </c>
    </row>
    <row r="39">
      <c r="B39" t="inlineStr">
        <is>
          <t>STEP 1 - ACTIVATION, ONCE PER WORKBOOK, AND IT IS A SPECIALIST'S TASK (R-8). As it ships this workbook holds no code and no buttons: there is nothing to press and nothing is broken. A risk specialist installs the xlwings Lite add-in, adds numpy and scipy to its Environment, generates the model script by running tools/make_qra_xlwings.py in the repository, and pastes the result into the xlwings Lite editor. The Reference (xlwings) tab carries the requirements and a readable copy of the entry points. Until this is done, no simulation can run.</t>
        </is>
      </c>
    </row>
    <row r="40">
      <c r="B40" t="inlineStr">
        <is>
          <t>STEP 2 - FILL THE REGISTER. Enter one risk per row on Risk Register from row 5. Blue cells are yours; the dropdowns are driven by the Lists tab. You can sort and filter the register with the sheet protected. You cannot INSERT a row: Excel inserts a whole row and the EMV columns are locked calc cells, so a 41st risk means Review &gt; Unprotect Sheet (a specialist's step) or a register regenerated at a higher row count. Set the run controls on Settings (iterations, seed, view). If you are dollarising schedule delay, put the day rate on MC_Params - it is blank as shipped, and every schedule-dollar figure stays zero until it is filled.</t>
        </is>
      </c>
    </row>
    <row r="41">
      <c r="B41" t="inlineStr">
        <is>
          <t>STEP 3 - RUN, from the xlwings Lite task pane on the right. These are task-pane items, NOT buttons on any sheet: 'Run Simulation' (the interactive count from Settings), 'Run Simulation 100k' (the deliverable count), and 'Validate Contract' (self-checks the named ranges and the version, writing PASS or FAIL). Results land on the Simulation tab, which is amber - written by the model, do not edit.</t>
        </is>
      </c>
    </row>
    <row r="42">
      <c r="B42" t="inlineStr">
        <is>
          <t>WITHOUT ACTIVATION you can still do real work: fill the register and read the live expected-value totals and charts on Summary and EMV &amp; Mode Analysis. Those are ordinary Excel formulas and need no simulation. What activation adds is the Monte-Carlo run.</t>
        </is>
      </c>
    </row>
    <row r="43">
      <c r="B43" t="inlineStr">
        <is>
          <t>SPECIALIST TABS. The four Layer1_* tabs are Tier-2: they need an elicited factor model and are optional (see Layer 1 above). Simulation and Out_* are written by the model. A generalist needs none of them.</t>
        </is>
      </c>
    </row>
    <row r="44"/>
    <row r="45">
      <c r="A45" s="3" t="inlineStr">
        <is>
          <t>Units, basis and formats - read before filling</t>
        </is>
      </c>
    </row>
    <row r="46">
      <c r="B46" t="inlineStr">
        <is>
          <t>UNITS. Risk Register costs are dollars ($); time is working days. Probability and Probability (Time) are FRACTIONS between 0 and 1: 0.45 means 45%, and entering 45 makes the risk fire on every iteration, silently. Layer-1 base values and Declared_Total are $M.</t>
        </is>
      </c>
    </row>
    <row r="47">
      <c r="B47" t="inlineStr">
        <is>
          <t>BASIS. Every figure is contingency at base date, before escalation. Escalation (GN4) is applied downstream to reach an outturn figure, never in this workbook.</t>
        </is>
      </c>
    </row>
    <row r="48">
      <c r="B48" t="inlineStr">
        <is>
          <t>THREE-POINT INPUTS. Optimistic / Most Likely / Pessimistic are read by the Distribution column. Triangular and PERT treat Optimistic and Pessimistic as absolute bounds. Lognormal treats them as roughly P10 and P90 with a tail beyond Pessimistic, and Most Likely as the median. Binary fires the Most Likely value; Binary/PERT draws a PERT when it fires. The time three-points follow the same rule, in working days.</t>
        </is>
      </c>
    </row>
    <row r="49">
      <c r="B49" t="inlineStr">
        <is>
          <t>COMPOSITION. Each iteration fires each risk with MC Include = Yes against its Probability and sums the sampled costs - MC Include is the switch, not Risk Status. A Time Impact = Yes risk shares one severity draw between its cost and its delay, so the two move together. When Layer 1 is on, each base cell is multiplied by (1 + factor) for every factor bound to it (rows via Layer1_Allocation, columns via Column_Scope) - the factor three-points are proportional deltas, 0.05 meaning +5% - and the result is added to the event total.</t>
        </is>
      </c>
    </row>
    <row r="50">
      <c r="B50" t="inlineStr">
        <is>
          <t>RECORDED, NOT READ. Effectiveness_Confidence, Default_Mapping_Confidence and Assignment_Confidence are kept for a reviewer and never used by the engine: any scale, or blank.</t>
        </is>
      </c>
    </row>
    <row r="51">
      <c r="B51" t="inlineStr">
        <is>
          <t>WHERE THE REST IS. Each fillable sheet carries its notes above its headers and each column's format on its header cell (hover). How to run: 'Running a simulation' above. What the colours mean: the legend above.</t>
        </is>
      </c>
    </row>
    <row r="52"/>
    <row r="53"/>
    <row r="54"/>
    <row r="55"/>
    <row r="56"/>
    <row r="57">
      <c r="A57" s="38" t="inlineStr">
        <is>
          <t>Project identity</t>
        </is>
      </c>
      <c r="B57" s="38" t="n"/>
    </row>
    <row r="58">
      <c r="A58" s="5" t="inlineStr">
        <is>
          <t>Project name</t>
        </is>
      </c>
      <c r="B58" s="9" t="inlineStr">
        <is>
          <t>Tropic Ridge Wind Farm</t>
        </is>
      </c>
    </row>
    <row r="59">
      <c r="A59" s="5" t="inlineStr">
        <is>
          <t>Project number</t>
        </is>
      </c>
      <c r="B59" s="9" t="inlineStr">
        <is>
          <t>TR-BOP-001</t>
        </is>
      </c>
    </row>
    <row r="60">
      <c r="A60" s="5" t="inlineStr">
        <is>
          <t>Client</t>
        </is>
      </c>
      <c r="B60" s="9" t="inlineStr">
        <is>
          <t>Wind Farm Owner</t>
        </is>
      </c>
    </row>
    <row r="61">
      <c r="A61" s="5" t="inlineStr">
        <is>
          <t>Prepared by</t>
        </is>
      </c>
      <c r="B61" s="9" t="inlineStr">
        <is>
          <t>CBL Analytics</t>
        </is>
      </c>
    </row>
    <row r="62">
      <c r="A62" s="5" t="inlineStr">
        <is>
          <t>Revision</t>
        </is>
      </c>
      <c r="B62" s="9" t="inlineStr">
        <is>
          <t>A</t>
        </is>
      </c>
    </row>
    <row r="63">
      <c r="A63" s="5" t="inlineStr">
        <is>
          <t>Issue date</t>
        </is>
      </c>
      <c r="B63" s="9"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portrait"/>
</worksheet>
</file>

<file path=xl/worksheets/sheet2.xml><?xml version="1.0" encoding="utf-8"?>
<worksheet xmlns="http://schemas.openxmlformats.org/spreadsheetml/2006/main">
  <sheetPr>
    <tabColor rgb="FF1F4E79"/>
    <outlinePr summaryBelow="1" summaryRight="1"/>
    <pageSetUpPr/>
  </sheetPr>
  <dimension ref="A1:AG103"/>
  <sheetViews>
    <sheetView showGridLines="0" workbookViewId="0">
      <selection activeCell="A1" sqref="A1"/>
    </sheetView>
  </sheetViews>
  <sheetFormatPr baseColWidth="8" defaultRowHeight="15"/>
  <cols>
    <col width="34" customWidth="1" min="1" max="1"/>
    <col outlineLevel="1" width="6" customWidth="1" min="18" max="33"/>
    <col width="30" customWidth="1" min="19" max="19"/>
    <col width="15" customWidth="1" min="20" max="20"/>
    <col width="3" customWidth="1" min="21" max="21"/>
    <col width="15" customWidth="1" min="22" max="22"/>
    <col width="3" customWidth="1" min="23" max="23"/>
    <col width="15" customWidth="1" min="24" max="24"/>
    <col width="15" customWidth="1" min="25" max="25"/>
    <col width="3" customWidth="1" min="26" max="26"/>
    <col width="15" customWidth="1" min="27" max="27"/>
    <col width="15" customWidth="1" min="28" max="28"/>
    <col width="3" customWidth="1" min="29" max="29"/>
    <col width="16" customWidth="1" min="30" max="30"/>
    <col width="16" customWidth="1" min="31" max="31"/>
    <col width="16" customWidth="1" min="32" max="32"/>
    <col width="16" customWidth="1" min="33" max="33"/>
  </cols>
  <sheetData>
    <row r="1">
      <c r="A1" s="40">
        <f>"Cost-QRA Charts — "&amp;Set_ProjectName&amp;" ("&amp;Set_ProjectNumber&amp;")"</f>
        <v/>
      </c>
      <c r="R1" s="21" t="inlineStr">
        <is>
          <t>Tornado helper — top 15 risks by cost EMV (formula-driven)</t>
        </is>
      </c>
      <c r="X1" s="21" t="inlineStr">
        <is>
          <t>S-curve helper (X = cost, Y = cumulative probability)</t>
        </is>
      </c>
      <c r="AA1" s="21" t="inlineStr">
        <is>
          <t>P-curve helper (text categories)</t>
        </is>
      </c>
      <c r="AD1" s="21" t="inlineStr">
        <is>
          <t>Correlation sensitivity helper (text categories)</t>
        </is>
      </c>
    </row>
    <row r="2">
      <c r="A2" s="41" t="inlineStr">
        <is>
          <t>All charts are driven by live ranges on Simulation / EMV &amp; Mode Analysis. Re-run the model and these refresh. Generated by tools/register_polish.py — do not hand-edit.</t>
        </is>
      </c>
      <c r="R2" s="5" t="inlineStr">
        <is>
          <t>Rank</t>
        </is>
      </c>
      <c r="S2" s="5" t="inlineStr">
        <is>
          <t>Risk</t>
        </is>
      </c>
      <c r="T2" s="5" t="inlineStr">
        <is>
          <t>Cost EMV ($)</t>
        </is>
      </c>
      <c r="U2" s="5" t="n"/>
      <c r="V2" s="42" t="inlineStr">
        <is>
          <t>Tie-break key</t>
        </is>
      </c>
      <c r="W2" s="5" t="n"/>
      <c r="X2" s="5" t="inlineStr">
        <is>
          <t>Cost ($)</t>
        </is>
      </c>
      <c r="Y2" s="5" t="inlineStr">
        <is>
          <t>Cumulative probability</t>
        </is>
      </c>
      <c r="Z2" s="5" t="n"/>
      <c r="AA2" s="5" t="inlineStr">
        <is>
          <t>P-level</t>
        </is>
      </c>
      <c r="AB2" s="5" t="inlineStr">
        <is>
          <t>Cost ($)</t>
        </is>
      </c>
      <c r="AC2" s="5" t="n"/>
      <c r="AD2" s="5" t="inlineStr">
        <is>
          <t>P-level</t>
        </is>
      </c>
      <c r="AE2" s="5" t="inlineStr">
        <is>
          <t>ρ = 0 (independent)</t>
        </is>
      </c>
      <c r="AF2" s="5" t="inlineStr">
        <is>
          <t>Elicited ρ</t>
        </is>
      </c>
      <c r="AG2" s="5" t="inlineStr">
        <is>
          <t>ρ = 1 (fully correlated)</t>
        </is>
      </c>
    </row>
    <row r="3">
      <c r="R3" t="n">
        <v>1</v>
      </c>
      <c r="S3">
        <f>INDEX('Risk Register'!$C$5:$C$39,MATCH(LARGE($V$3:$V$37,$R3),$V$3:$V$37,0))</f>
        <v/>
      </c>
      <c r="T3" s="43">
        <f>INDEX('EMV &amp; Mode Analysis'!$B$12:$B$46,MATCH(LARGE($V$3:$V$37,$R3),$V$3:$V$37,0))</f>
        <v/>
      </c>
      <c r="V3" s="44">
        <f>'EMV &amp; Mode Analysis'!B12-ROW()/1000000</f>
        <v/>
      </c>
      <c r="X3" s="45">
        <f>Simulation!E2</f>
        <v/>
      </c>
      <c r="Y3" s="46">
        <f>Simulation!D2</f>
        <v/>
      </c>
      <c r="AA3">
        <f>"P"&amp;Simulation!A2</f>
        <v/>
      </c>
      <c r="AB3" s="45">
        <f>Simulation!B2</f>
        <v/>
      </c>
      <c r="AD3">
        <f>"P"&amp;Simulation!I2</f>
        <v/>
      </c>
      <c r="AE3" s="45">
        <f>Simulation!J2</f>
        <v/>
      </c>
      <c r="AF3" s="45">
        <f>Simulation!K2</f>
        <v/>
      </c>
      <c r="AG3" s="45">
        <f>Simulation!L2</f>
        <v/>
      </c>
    </row>
    <row r="4">
      <c r="R4">
        <f>R3+1</f>
        <v/>
      </c>
      <c r="S4">
        <f>INDEX('Risk Register'!$C$5:$C$39,MATCH(LARGE($V$3:$V$37,$R4),$V$3:$V$37,0))</f>
        <v/>
      </c>
      <c r="T4" s="43">
        <f>INDEX('EMV &amp; Mode Analysis'!$B$12:$B$46,MATCH(LARGE($V$3:$V$37,$R4),$V$3:$V$37,0))</f>
        <v/>
      </c>
      <c r="V4" s="44">
        <f>'EMV &amp; Mode Analysis'!B13-ROW()/1000000</f>
        <v/>
      </c>
      <c r="X4" s="45">
        <f>Simulation!E3</f>
        <v/>
      </c>
      <c r="Y4" s="46">
        <f>Simulation!D3</f>
        <v/>
      </c>
      <c r="AA4">
        <f>"P"&amp;Simulation!A3</f>
        <v/>
      </c>
      <c r="AB4" s="45">
        <f>Simulation!B3</f>
        <v/>
      </c>
      <c r="AD4">
        <f>"P"&amp;Simulation!I3</f>
        <v/>
      </c>
      <c r="AE4" s="45">
        <f>Simulation!J3</f>
        <v/>
      </c>
      <c r="AF4" s="45">
        <f>Simulation!K3</f>
        <v/>
      </c>
      <c r="AG4" s="45">
        <f>Simulation!L3</f>
        <v/>
      </c>
    </row>
    <row r="5">
      <c r="R5">
        <f>R4+1</f>
        <v/>
      </c>
      <c r="S5">
        <f>INDEX('Risk Register'!$C$5:$C$39,MATCH(LARGE($V$3:$V$37,$R5),$V$3:$V$37,0))</f>
        <v/>
      </c>
      <c r="T5" s="43">
        <f>INDEX('EMV &amp; Mode Analysis'!$B$12:$B$46,MATCH(LARGE($V$3:$V$37,$R5),$V$3:$V$37,0))</f>
        <v/>
      </c>
      <c r="V5" s="44">
        <f>'EMV &amp; Mode Analysis'!B14-ROW()/1000000</f>
        <v/>
      </c>
      <c r="X5" s="45">
        <f>Simulation!E4</f>
        <v/>
      </c>
      <c r="Y5" s="46">
        <f>Simulation!D4</f>
        <v/>
      </c>
      <c r="AA5">
        <f>"P"&amp;Simulation!A4</f>
        <v/>
      </c>
      <c r="AB5" s="45">
        <f>Simulation!B4</f>
        <v/>
      </c>
      <c r="AD5">
        <f>"P"&amp;Simulation!I4</f>
        <v/>
      </c>
      <c r="AE5" s="45">
        <f>Simulation!J4</f>
        <v/>
      </c>
      <c r="AF5" s="45">
        <f>Simulation!K4</f>
        <v/>
      </c>
      <c r="AG5" s="45">
        <f>Simulation!L4</f>
        <v/>
      </c>
    </row>
    <row r="6">
      <c r="R6">
        <f>R5+1</f>
        <v/>
      </c>
      <c r="S6">
        <f>INDEX('Risk Register'!$C$5:$C$39,MATCH(LARGE($V$3:$V$37,$R6),$V$3:$V$37,0))</f>
        <v/>
      </c>
      <c r="T6" s="43">
        <f>INDEX('EMV &amp; Mode Analysis'!$B$12:$B$46,MATCH(LARGE($V$3:$V$37,$R6),$V$3:$V$37,0))</f>
        <v/>
      </c>
      <c r="V6" s="44">
        <f>'EMV &amp; Mode Analysis'!B15-ROW()/1000000</f>
        <v/>
      </c>
      <c r="X6" s="45">
        <f>Simulation!E5</f>
        <v/>
      </c>
      <c r="Y6" s="46">
        <f>Simulation!D5</f>
        <v/>
      </c>
      <c r="AA6">
        <f>"P"&amp;Simulation!A5</f>
        <v/>
      </c>
      <c r="AB6" s="45">
        <f>Simulation!B5</f>
        <v/>
      </c>
      <c r="AD6">
        <f>"P"&amp;Simulation!I5</f>
        <v/>
      </c>
      <c r="AE6" s="45">
        <f>Simulation!J5</f>
        <v/>
      </c>
      <c r="AF6" s="45">
        <f>Simulation!K5</f>
        <v/>
      </c>
      <c r="AG6" s="45">
        <f>Simulation!L5</f>
        <v/>
      </c>
    </row>
    <row r="7">
      <c r="R7">
        <f>R6+1</f>
        <v/>
      </c>
      <c r="S7">
        <f>INDEX('Risk Register'!$C$5:$C$39,MATCH(LARGE($V$3:$V$37,$R7),$V$3:$V$37,0))</f>
        <v/>
      </c>
      <c r="T7" s="43">
        <f>INDEX('EMV &amp; Mode Analysis'!$B$12:$B$46,MATCH(LARGE($V$3:$V$37,$R7),$V$3:$V$37,0))</f>
        <v/>
      </c>
      <c r="V7" s="44">
        <f>'EMV &amp; Mode Analysis'!B16-ROW()/1000000</f>
        <v/>
      </c>
      <c r="X7" s="45">
        <f>Simulation!E6</f>
        <v/>
      </c>
      <c r="Y7" s="46">
        <f>Simulation!D6</f>
        <v/>
      </c>
      <c r="AA7">
        <f>"P"&amp;Simulation!A6</f>
        <v/>
      </c>
      <c r="AB7" s="45">
        <f>Simulation!B6</f>
        <v/>
      </c>
      <c r="AD7">
        <f>"P"&amp;Simulation!I6</f>
        <v/>
      </c>
      <c r="AE7" s="45">
        <f>Simulation!J6</f>
        <v/>
      </c>
      <c r="AF7" s="45">
        <f>Simulation!K6</f>
        <v/>
      </c>
      <c r="AG7" s="45">
        <f>Simulation!L6</f>
        <v/>
      </c>
    </row>
    <row r="8">
      <c r="R8">
        <f>R7+1</f>
        <v/>
      </c>
      <c r="S8">
        <f>INDEX('Risk Register'!$C$5:$C$39,MATCH(LARGE($V$3:$V$37,$R8),$V$3:$V$37,0))</f>
        <v/>
      </c>
      <c r="T8" s="43">
        <f>INDEX('EMV &amp; Mode Analysis'!$B$12:$B$46,MATCH(LARGE($V$3:$V$37,$R8),$V$3:$V$37,0))</f>
        <v/>
      </c>
      <c r="V8" s="44">
        <f>'EMV &amp; Mode Analysis'!B17-ROW()/1000000</f>
        <v/>
      </c>
      <c r="X8" s="45">
        <f>Simulation!E7</f>
        <v/>
      </c>
      <c r="Y8" s="46">
        <f>Simulation!D7</f>
        <v/>
      </c>
      <c r="AA8">
        <f>"P"&amp;Simulation!A7</f>
        <v/>
      </c>
      <c r="AB8" s="45">
        <f>Simulation!B7</f>
        <v/>
      </c>
      <c r="AD8">
        <f>"P"&amp;Simulation!I7</f>
        <v/>
      </c>
      <c r="AE8" s="45">
        <f>Simulation!J7</f>
        <v/>
      </c>
      <c r="AF8" s="45">
        <f>Simulation!K7</f>
        <v/>
      </c>
      <c r="AG8" s="45">
        <f>Simulation!L7</f>
        <v/>
      </c>
    </row>
    <row r="9">
      <c r="R9">
        <f>R8+1</f>
        <v/>
      </c>
      <c r="S9">
        <f>INDEX('Risk Register'!$C$5:$C$39,MATCH(LARGE($V$3:$V$37,$R9),$V$3:$V$37,0))</f>
        <v/>
      </c>
      <c r="T9" s="43">
        <f>INDEX('EMV &amp; Mode Analysis'!$B$12:$B$46,MATCH(LARGE($V$3:$V$37,$R9),$V$3:$V$37,0))</f>
        <v/>
      </c>
      <c r="V9" s="44">
        <f>'EMV &amp; Mode Analysis'!B18-ROW()/1000000</f>
        <v/>
      </c>
      <c r="X9" s="45">
        <f>Simulation!E8</f>
        <v/>
      </c>
      <c r="Y9" s="46">
        <f>Simulation!D8</f>
        <v/>
      </c>
      <c r="AA9">
        <f>"P"&amp;Simulation!A8</f>
        <v/>
      </c>
      <c r="AB9" s="45">
        <f>Simulation!B8</f>
        <v/>
      </c>
      <c r="AD9">
        <f>"P"&amp;Simulation!I8</f>
        <v/>
      </c>
      <c r="AE9" s="45">
        <f>Simulation!J8</f>
        <v/>
      </c>
      <c r="AF9" s="45">
        <f>Simulation!K8</f>
        <v/>
      </c>
      <c r="AG9" s="45">
        <f>Simulation!L8</f>
        <v/>
      </c>
    </row>
    <row r="10">
      <c r="R10">
        <f>R9+1</f>
        <v/>
      </c>
      <c r="S10">
        <f>INDEX('Risk Register'!$C$5:$C$39,MATCH(LARGE($V$3:$V$37,$R10),$V$3:$V$37,0))</f>
        <v/>
      </c>
      <c r="T10" s="43">
        <f>INDEX('EMV &amp; Mode Analysis'!$B$12:$B$46,MATCH(LARGE($V$3:$V$37,$R10),$V$3:$V$37,0))</f>
        <v/>
      </c>
      <c r="V10" s="44">
        <f>'EMV &amp; Mode Analysis'!B19-ROW()/1000000</f>
        <v/>
      </c>
      <c r="X10" s="45">
        <f>Simulation!E9</f>
        <v/>
      </c>
      <c r="Y10" s="46">
        <f>Simulation!D9</f>
        <v/>
      </c>
      <c r="AA10">
        <f>"P"&amp;Simulation!A9</f>
        <v/>
      </c>
      <c r="AB10" s="45">
        <f>Simulation!B9</f>
        <v/>
      </c>
      <c r="AD10">
        <f>"P"&amp;Simulation!I9</f>
        <v/>
      </c>
      <c r="AE10" s="45">
        <f>Simulation!J9</f>
        <v/>
      </c>
      <c r="AF10" s="45">
        <f>Simulation!K9</f>
        <v/>
      </c>
      <c r="AG10" s="45">
        <f>Simulation!L9</f>
        <v/>
      </c>
    </row>
    <row r="11">
      <c r="R11">
        <f>R10+1</f>
        <v/>
      </c>
      <c r="S11">
        <f>INDEX('Risk Register'!$C$5:$C$39,MATCH(LARGE($V$3:$V$37,$R11),$V$3:$V$37,0))</f>
        <v/>
      </c>
      <c r="T11" s="43">
        <f>INDEX('EMV &amp; Mode Analysis'!$B$12:$B$46,MATCH(LARGE($V$3:$V$37,$R11),$V$3:$V$37,0))</f>
        <v/>
      </c>
      <c r="V11" s="44">
        <f>'EMV &amp; Mode Analysis'!B20-ROW()/1000000</f>
        <v/>
      </c>
      <c r="X11" s="45">
        <f>Simulation!E10</f>
        <v/>
      </c>
      <c r="Y11" s="46">
        <f>Simulation!D10</f>
        <v/>
      </c>
      <c r="AA11">
        <f>"P"&amp;Simulation!A10</f>
        <v/>
      </c>
      <c r="AB11" s="45">
        <f>Simulation!B10</f>
        <v/>
      </c>
      <c r="AD11">
        <f>"P"&amp;Simulation!I10</f>
        <v/>
      </c>
      <c r="AE11" s="45">
        <f>Simulation!J10</f>
        <v/>
      </c>
      <c r="AF11" s="45">
        <f>Simulation!K10</f>
        <v/>
      </c>
      <c r="AG11" s="45">
        <f>Simulation!L10</f>
        <v/>
      </c>
    </row>
    <row r="12">
      <c r="R12">
        <f>R11+1</f>
        <v/>
      </c>
      <c r="S12">
        <f>INDEX('Risk Register'!$C$5:$C$39,MATCH(LARGE($V$3:$V$37,$R12),$V$3:$V$37,0))</f>
        <v/>
      </c>
      <c r="T12" s="43">
        <f>INDEX('EMV &amp; Mode Analysis'!$B$12:$B$46,MATCH(LARGE($V$3:$V$37,$R12),$V$3:$V$37,0))</f>
        <v/>
      </c>
      <c r="V12" s="44">
        <f>'EMV &amp; Mode Analysis'!B21-ROW()/1000000</f>
        <v/>
      </c>
      <c r="X12" s="45">
        <f>Simulation!E11</f>
        <v/>
      </c>
      <c r="Y12" s="46">
        <f>Simulation!D11</f>
        <v/>
      </c>
      <c r="AA12">
        <f>"P"&amp;Simulation!A11</f>
        <v/>
      </c>
      <c r="AB12" s="45">
        <f>Simulation!B11</f>
        <v/>
      </c>
      <c r="AD12">
        <f>"P"&amp;Simulation!I11</f>
        <v/>
      </c>
      <c r="AE12" s="45">
        <f>Simulation!J11</f>
        <v/>
      </c>
      <c r="AF12" s="45">
        <f>Simulation!K11</f>
        <v/>
      </c>
      <c r="AG12" s="45">
        <f>Simulation!L11</f>
        <v/>
      </c>
    </row>
    <row r="13">
      <c r="R13">
        <f>R12+1</f>
        <v/>
      </c>
      <c r="S13">
        <f>INDEX('Risk Register'!$C$5:$C$39,MATCH(LARGE($V$3:$V$37,$R13),$V$3:$V$37,0))</f>
        <v/>
      </c>
      <c r="T13" s="43">
        <f>INDEX('EMV &amp; Mode Analysis'!$B$12:$B$46,MATCH(LARGE($V$3:$V$37,$R13),$V$3:$V$37,0))</f>
        <v/>
      </c>
      <c r="V13" s="44">
        <f>'EMV &amp; Mode Analysis'!B22-ROW()/1000000</f>
        <v/>
      </c>
      <c r="X13" s="45">
        <f>Simulation!E12</f>
        <v/>
      </c>
      <c r="Y13" s="46">
        <f>Simulation!D12</f>
        <v/>
      </c>
      <c r="AA13">
        <f>"P"&amp;Simulation!A12</f>
        <v/>
      </c>
      <c r="AB13" s="45">
        <f>Simulation!B12</f>
        <v/>
      </c>
      <c r="AD13">
        <f>"P"&amp;Simulation!I12</f>
        <v/>
      </c>
      <c r="AE13" s="45">
        <f>Simulation!J12</f>
        <v/>
      </c>
      <c r="AF13" s="45">
        <f>Simulation!K12</f>
        <v/>
      </c>
      <c r="AG13" s="45">
        <f>Simulation!L12</f>
        <v/>
      </c>
    </row>
    <row r="14">
      <c r="R14">
        <f>R13+1</f>
        <v/>
      </c>
      <c r="S14">
        <f>INDEX('Risk Register'!$C$5:$C$39,MATCH(LARGE($V$3:$V$37,$R14),$V$3:$V$37,0))</f>
        <v/>
      </c>
      <c r="T14" s="43">
        <f>INDEX('EMV &amp; Mode Analysis'!$B$12:$B$46,MATCH(LARGE($V$3:$V$37,$R14),$V$3:$V$37,0))</f>
        <v/>
      </c>
      <c r="V14" s="44">
        <f>'EMV &amp; Mode Analysis'!B23-ROW()/1000000</f>
        <v/>
      </c>
      <c r="X14" s="45">
        <f>Simulation!E13</f>
        <v/>
      </c>
      <c r="Y14" s="46">
        <f>Simulation!D13</f>
        <v/>
      </c>
      <c r="AA14">
        <f>"P"&amp;Simulation!A13</f>
        <v/>
      </c>
      <c r="AB14" s="45">
        <f>Simulation!B13</f>
        <v/>
      </c>
      <c r="AD14">
        <f>"P"&amp;Simulation!I13</f>
        <v/>
      </c>
      <c r="AE14" s="45">
        <f>Simulation!J13</f>
        <v/>
      </c>
      <c r="AF14" s="45">
        <f>Simulation!K13</f>
        <v/>
      </c>
      <c r="AG14" s="45">
        <f>Simulation!L13</f>
        <v/>
      </c>
    </row>
    <row r="15">
      <c r="R15">
        <f>R14+1</f>
        <v/>
      </c>
      <c r="S15">
        <f>INDEX('Risk Register'!$C$5:$C$39,MATCH(LARGE($V$3:$V$37,$R15),$V$3:$V$37,0))</f>
        <v/>
      </c>
      <c r="T15" s="43">
        <f>INDEX('EMV &amp; Mode Analysis'!$B$12:$B$46,MATCH(LARGE($V$3:$V$37,$R15),$V$3:$V$37,0))</f>
        <v/>
      </c>
      <c r="V15" s="44">
        <f>'EMV &amp; Mode Analysis'!B24-ROW()/1000000</f>
        <v/>
      </c>
      <c r="X15" s="45">
        <f>Simulation!E14</f>
        <v/>
      </c>
      <c r="Y15" s="46">
        <f>Simulation!D14</f>
        <v/>
      </c>
      <c r="AA15">
        <f>"P"&amp;Simulation!A14</f>
        <v/>
      </c>
      <c r="AB15" s="45">
        <f>Simulation!B14</f>
        <v/>
      </c>
      <c r="AD15">
        <f>"P"&amp;Simulation!I14</f>
        <v/>
      </c>
      <c r="AE15" s="45">
        <f>Simulation!J14</f>
        <v/>
      </c>
      <c r="AF15" s="45">
        <f>Simulation!K14</f>
        <v/>
      </c>
      <c r="AG15" s="45">
        <f>Simulation!L14</f>
        <v/>
      </c>
    </row>
    <row r="16">
      <c r="R16">
        <f>R15+1</f>
        <v/>
      </c>
      <c r="S16">
        <f>INDEX('Risk Register'!$C$5:$C$39,MATCH(LARGE($V$3:$V$37,$R16),$V$3:$V$37,0))</f>
        <v/>
      </c>
      <c r="T16" s="43">
        <f>INDEX('EMV &amp; Mode Analysis'!$B$12:$B$46,MATCH(LARGE($V$3:$V$37,$R16),$V$3:$V$37,0))</f>
        <v/>
      </c>
      <c r="V16" s="44">
        <f>'EMV &amp; Mode Analysis'!B25-ROW()/1000000</f>
        <v/>
      </c>
      <c r="X16" s="45">
        <f>Simulation!E15</f>
        <v/>
      </c>
      <c r="Y16" s="46">
        <f>Simulation!D15</f>
        <v/>
      </c>
      <c r="AA16">
        <f>"P"&amp;Simulation!A15</f>
        <v/>
      </c>
      <c r="AB16" s="45">
        <f>Simulation!B15</f>
        <v/>
      </c>
      <c r="AD16">
        <f>"P"&amp;Simulation!I15</f>
        <v/>
      </c>
      <c r="AE16" s="45">
        <f>Simulation!J15</f>
        <v/>
      </c>
      <c r="AF16" s="45">
        <f>Simulation!K15</f>
        <v/>
      </c>
      <c r="AG16" s="45">
        <f>Simulation!L15</f>
        <v/>
      </c>
    </row>
    <row r="17">
      <c r="R17">
        <f>R16+1</f>
        <v/>
      </c>
      <c r="S17">
        <f>INDEX('Risk Register'!$C$5:$C$39,MATCH(LARGE($V$3:$V$37,$R17),$V$3:$V$37,0))</f>
        <v/>
      </c>
      <c r="T17" s="43">
        <f>INDEX('EMV &amp; Mode Analysis'!$B$12:$B$46,MATCH(LARGE($V$3:$V$37,$R17),$V$3:$V$37,0))</f>
        <v/>
      </c>
      <c r="V17" s="44">
        <f>'EMV &amp; Mode Analysis'!B26-ROW()/1000000</f>
        <v/>
      </c>
      <c r="X17" s="45">
        <f>Simulation!E16</f>
        <v/>
      </c>
      <c r="Y17" s="46">
        <f>Simulation!D16</f>
        <v/>
      </c>
      <c r="AA17">
        <f>"P"&amp;Simulation!A16</f>
        <v/>
      </c>
      <c r="AB17" s="45">
        <f>Simulation!B16</f>
        <v/>
      </c>
      <c r="AD17">
        <f>"P"&amp;Simulation!I16</f>
        <v/>
      </c>
      <c r="AE17" s="45">
        <f>Simulation!J16</f>
        <v/>
      </c>
      <c r="AF17" s="45">
        <f>Simulation!K16</f>
        <v/>
      </c>
      <c r="AG17" s="45">
        <f>Simulation!L16</f>
        <v/>
      </c>
    </row>
    <row r="18">
      <c r="V18" s="44">
        <f>'EMV &amp; Mode Analysis'!B27-ROW()/1000000</f>
        <v/>
      </c>
      <c r="X18" s="45">
        <f>Simulation!E17</f>
        <v/>
      </c>
      <c r="Y18" s="46">
        <f>Simulation!D17</f>
        <v/>
      </c>
      <c r="AA18">
        <f>"P"&amp;Simulation!A17</f>
        <v/>
      </c>
      <c r="AB18" s="45">
        <f>Simulation!B17</f>
        <v/>
      </c>
      <c r="AD18">
        <f>"P"&amp;Simulation!I17</f>
        <v/>
      </c>
      <c r="AE18" s="45">
        <f>Simulation!J17</f>
        <v/>
      </c>
      <c r="AF18" s="45">
        <f>Simulation!K17</f>
        <v/>
      </c>
      <c r="AG18" s="45">
        <f>Simulation!L17</f>
        <v/>
      </c>
    </row>
    <row r="19">
      <c r="V19" s="44">
        <f>'EMV &amp; Mode Analysis'!B28-ROW()/1000000</f>
        <v/>
      </c>
      <c r="X19" s="45">
        <f>Simulation!E18</f>
        <v/>
      </c>
      <c r="Y19" s="46">
        <f>Simulation!D18</f>
        <v/>
      </c>
      <c r="AA19">
        <f>"P"&amp;Simulation!A18</f>
        <v/>
      </c>
      <c r="AB19" s="45">
        <f>Simulation!B18</f>
        <v/>
      </c>
      <c r="AD19">
        <f>"P"&amp;Simulation!I18</f>
        <v/>
      </c>
      <c r="AE19" s="45">
        <f>Simulation!J18</f>
        <v/>
      </c>
      <c r="AF19" s="45">
        <f>Simulation!K18</f>
        <v/>
      </c>
      <c r="AG19" s="45">
        <f>Simulation!L18</f>
        <v/>
      </c>
    </row>
    <row r="20">
      <c r="V20" s="44">
        <f>'EMV &amp; Mode Analysis'!B29-ROW()/1000000</f>
        <v/>
      </c>
      <c r="X20" s="45">
        <f>Simulation!E19</f>
        <v/>
      </c>
      <c r="Y20" s="46">
        <f>Simulation!D19</f>
        <v/>
      </c>
      <c r="AA20">
        <f>"P"&amp;Simulation!A19</f>
        <v/>
      </c>
      <c r="AB20" s="45">
        <f>Simulation!B19</f>
        <v/>
      </c>
      <c r="AD20">
        <f>"P"&amp;Simulation!I19</f>
        <v/>
      </c>
      <c r="AE20" s="45">
        <f>Simulation!J19</f>
        <v/>
      </c>
      <c r="AF20" s="45">
        <f>Simulation!K19</f>
        <v/>
      </c>
      <c r="AG20" s="45">
        <f>Simulation!L19</f>
        <v/>
      </c>
    </row>
    <row r="21">
      <c r="V21" s="44">
        <f>'EMV &amp; Mode Analysis'!B30-ROW()/1000000</f>
        <v/>
      </c>
      <c r="X21" s="45">
        <f>Simulation!E20</f>
        <v/>
      </c>
      <c r="Y21" s="46">
        <f>Simulation!D20</f>
        <v/>
      </c>
      <c r="AA21">
        <f>"P"&amp;Simulation!A20</f>
        <v/>
      </c>
      <c r="AB21" s="45">
        <f>Simulation!B20</f>
        <v/>
      </c>
      <c r="AD21">
        <f>"P"&amp;Simulation!I20</f>
        <v/>
      </c>
      <c r="AE21" s="45">
        <f>Simulation!J20</f>
        <v/>
      </c>
      <c r="AF21" s="45">
        <f>Simulation!K20</f>
        <v/>
      </c>
      <c r="AG21" s="45">
        <f>Simulation!L20</f>
        <v/>
      </c>
    </row>
    <row r="22">
      <c r="V22" s="44">
        <f>'EMV &amp; Mode Analysis'!B31-ROW()/1000000</f>
        <v/>
      </c>
      <c r="X22" s="45">
        <f>Simulation!E21</f>
        <v/>
      </c>
      <c r="Y22" s="46">
        <f>Simulation!D21</f>
        <v/>
      </c>
    </row>
    <row r="23">
      <c r="V23" s="44">
        <f>'EMV &amp; Mode Analysis'!B32-ROW()/1000000</f>
        <v/>
      </c>
      <c r="X23" s="45">
        <f>Simulation!E22</f>
        <v/>
      </c>
      <c r="Y23" s="46">
        <f>Simulation!D22</f>
        <v/>
      </c>
    </row>
    <row r="24">
      <c r="V24" s="44">
        <f>'EMV &amp; Mode Analysis'!B33-ROW()/1000000</f>
        <v/>
      </c>
      <c r="X24" s="45">
        <f>Simulation!E23</f>
        <v/>
      </c>
      <c r="Y24" s="46">
        <f>Simulation!D23</f>
        <v/>
      </c>
    </row>
    <row r="25">
      <c r="V25" s="44">
        <f>'EMV &amp; Mode Analysis'!B34-ROW()/1000000</f>
        <v/>
      </c>
      <c r="X25" s="45">
        <f>Simulation!E24</f>
        <v/>
      </c>
      <c r="Y25" s="46">
        <f>Simulation!D24</f>
        <v/>
      </c>
    </row>
    <row r="26">
      <c r="V26" s="44">
        <f>'EMV &amp; Mode Analysis'!B35-ROW()/1000000</f>
        <v/>
      </c>
      <c r="X26" s="45">
        <f>Simulation!E25</f>
        <v/>
      </c>
      <c r="Y26" s="46">
        <f>Simulation!D25</f>
        <v/>
      </c>
    </row>
    <row r="27">
      <c r="V27" s="44">
        <f>'EMV &amp; Mode Analysis'!B36-ROW()/1000000</f>
        <v/>
      </c>
      <c r="X27" s="45">
        <f>Simulation!E26</f>
        <v/>
      </c>
      <c r="Y27" s="46">
        <f>Simulation!D26</f>
        <v/>
      </c>
    </row>
    <row r="28">
      <c r="V28" s="44">
        <f>'EMV &amp; Mode Analysis'!B37-ROW()/1000000</f>
        <v/>
      </c>
      <c r="X28" s="45">
        <f>Simulation!E27</f>
        <v/>
      </c>
      <c r="Y28" s="46">
        <f>Simulation!D27</f>
        <v/>
      </c>
    </row>
    <row r="29">
      <c r="V29" s="44">
        <f>'EMV &amp; Mode Analysis'!B38-ROW()/1000000</f>
        <v/>
      </c>
      <c r="X29" s="45">
        <f>Simulation!E28</f>
        <v/>
      </c>
      <c r="Y29" s="46">
        <f>Simulation!D28</f>
        <v/>
      </c>
    </row>
    <row r="30">
      <c r="V30" s="44">
        <f>'EMV &amp; Mode Analysis'!B39-ROW()/1000000</f>
        <v/>
      </c>
      <c r="X30" s="45">
        <f>Simulation!E29</f>
        <v/>
      </c>
      <c r="Y30" s="46">
        <f>Simulation!D29</f>
        <v/>
      </c>
    </row>
    <row r="31">
      <c r="V31" s="44">
        <f>'EMV &amp; Mode Analysis'!B40-ROW()/1000000</f>
        <v/>
      </c>
      <c r="X31" s="45">
        <f>Simulation!E30</f>
        <v/>
      </c>
      <c r="Y31" s="46">
        <f>Simulation!D30</f>
        <v/>
      </c>
    </row>
    <row r="32">
      <c r="V32" s="44">
        <f>'EMV &amp; Mode Analysis'!B41-ROW()/1000000</f>
        <v/>
      </c>
      <c r="X32" s="45">
        <f>Simulation!E31</f>
        <v/>
      </c>
      <c r="Y32" s="46">
        <f>Simulation!D31</f>
        <v/>
      </c>
    </row>
    <row r="33">
      <c r="V33" s="44">
        <f>'EMV &amp; Mode Analysis'!B42-ROW()/1000000</f>
        <v/>
      </c>
      <c r="X33" s="45">
        <f>Simulation!E32</f>
        <v/>
      </c>
      <c r="Y33" s="46">
        <f>Simulation!D32</f>
        <v/>
      </c>
    </row>
    <row r="34">
      <c r="V34" s="44">
        <f>'EMV &amp; Mode Analysis'!B43-ROW()/1000000</f>
        <v/>
      </c>
      <c r="X34" s="45">
        <f>Simulation!E33</f>
        <v/>
      </c>
      <c r="Y34" s="46">
        <f>Simulation!D33</f>
        <v/>
      </c>
    </row>
    <row r="35">
      <c r="V35" s="44">
        <f>'EMV &amp; Mode Analysis'!B44-ROW()/1000000</f>
        <v/>
      </c>
      <c r="X35" s="45">
        <f>Simulation!E34</f>
        <v/>
      </c>
      <c r="Y35" s="46">
        <f>Simulation!D34</f>
        <v/>
      </c>
    </row>
    <row r="36">
      <c r="V36" s="44">
        <f>'EMV &amp; Mode Analysis'!B45-ROW()/1000000</f>
        <v/>
      </c>
      <c r="X36" s="45">
        <f>Simulation!E35</f>
        <v/>
      </c>
      <c r="Y36" s="46">
        <f>Simulation!D35</f>
        <v/>
      </c>
    </row>
    <row r="37">
      <c r="V37" s="44">
        <f>'EMV &amp; Mode Analysis'!B46-ROW()/1000000</f>
        <v/>
      </c>
      <c r="X37" s="45">
        <f>Simulation!E36</f>
        <v/>
      </c>
      <c r="Y37" s="46">
        <f>Simulation!D36</f>
        <v/>
      </c>
    </row>
    <row r="38">
      <c r="X38" s="45">
        <f>Simulation!E37</f>
        <v/>
      </c>
      <c r="Y38" s="46">
        <f>Simulation!D37</f>
        <v/>
      </c>
    </row>
    <row r="39">
      <c r="X39" s="45">
        <f>Simulation!E38</f>
        <v/>
      </c>
      <c r="Y39" s="46">
        <f>Simulation!D38</f>
        <v/>
      </c>
    </row>
    <row r="40">
      <c r="X40" s="45">
        <f>Simulation!E39</f>
        <v/>
      </c>
      <c r="Y40" s="46">
        <f>Simulation!D39</f>
        <v/>
      </c>
    </row>
    <row r="41">
      <c r="X41" s="45">
        <f>Simulation!E40</f>
        <v/>
      </c>
      <c r="Y41" s="46">
        <f>Simulation!D40</f>
        <v/>
      </c>
    </row>
    <row r="42">
      <c r="X42" s="45">
        <f>Simulation!E41</f>
        <v/>
      </c>
      <c r="Y42" s="46">
        <f>Simulation!D41</f>
        <v/>
      </c>
    </row>
    <row r="43">
      <c r="X43" s="45">
        <f>Simulation!E42</f>
        <v/>
      </c>
      <c r="Y43" s="46">
        <f>Simulation!D42</f>
        <v/>
      </c>
    </row>
    <row r="44">
      <c r="X44" s="45">
        <f>Simulation!E43</f>
        <v/>
      </c>
      <c r="Y44" s="46">
        <f>Simulation!D43</f>
        <v/>
      </c>
    </row>
    <row r="45">
      <c r="X45" s="45">
        <f>Simulation!E44</f>
        <v/>
      </c>
      <c r="Y45" s="46">
        <f>Simulation!D44</f>
        <v/>
      </c>
    </row>
    <row r="46">
      <c r="X46" s="45">
        <f>Simulation!E45</f>
        <v/>
      </c>
      <c r="Y46" s="46">
        <f>Simulation!D45</f>
        <v/>
      </c>
    </row>
    <row r="47">
      <c r="X47" s="45">
        <f>Simulation!E46</f>
        <v/>
      </c>
      <c r="Y47" s="46">
        <f>Simulation!D46</f>
        <v/>
      </c>
    </row>
    <row r="48">
      <c r="X48" s="45">
        <f>Simulation!E47</f>
        <v/>
      </c>
      <c r="Y48" s="46">
        <f>Simulation!D47</f>
        <v/>
      </c>
    </row>
    <row r="49">
      <c r="X49" s="45">
        <f>Simulation!E48</f>
        <v/>
      </c>
      <c r="Y49" s="46">
        <f>Simulation!D48</f>
        <v/>
      </c>
    </row>
    <row r="50">
      <c r="X50" s="45">
        <f>Simulation!E49</f>
        <v/>
      </c>
      <c r="Y50" s="46">
        <f>Simulation!D49</f>
        <v/>
      </c>
    </row>
    <row r="51">
      <c r="X51" s="45">
        <f>Simulation!E50</f>
        <v/>
      </c>
      <c r="Y51" s="46">
        <f>Simulation!D50</f>
        <v/>
      </c>
    </row>
    <row r="52">
      <c r="X52" s="45">
        <f>Simulation!E51</f>
        <v/>
      </c>
      <c r="Y52" s="46">
        <f>Simulation!D51</f>
        <v/>
      </c>
    </row>
    <row r="53">
      <c r="X53" s="45">
        <f>Simulation!E52</f>
        <v/>
      </c>
      <c r="Y53" s="46">
        <f>Simulation!D52</f>
        <v/>
      </c>
    </row>
    <row r="54">
      <c r="X54" s="45">
        <f>Simulation!E53</f>
        <v/>
      </c>
      <c r="Y54" s="46">
        <f>Simulation!D53</f>
        <v/>
      </c>
    </row>
    <row r="55">
      <c r="X55" s="45">
        <f>Simulation!E54</f>
        <v/>
      </c>
      <c r="Y55" s="46">
        <f>Simulation!D54</f>
        <v/>
      </c>
    </row>
    <row r="56">
      <c r="X56" s="45">
        <f>Simulation!E55</f>
        <v/>
      </c>
      <c r="Y56" s="46">
        <f>Simulation!D55</f>
        <v/>
      </c>
    </row>
    <row r="57">
      <c r="X57" s="45">
        <f>Simulation!E56</f>
        <v/>
      </c>
      <c r="Y57" s="46">
        <f>Simulation!D56</f>
        <v/>
      </c>
    </row>
    <row r="58">
      <c r="X58" s="45">
        <f>Simulation!E57</f>
        <v/>
      </c>
      <c r="Y58" s="46">
        <f>Simulation!D57</f>
        <v/>
      </c>
    </row>
    <row r="59">
      <c r="X59" s="45">
        <f>Simulation!E58</f>
        <v/>
      </c>
      <c r="Y59" s="46">
        <f>Simulation!D58</f>
        <v/>
      </c>
    </row>
    <row r="60">
      <c r="X60" s="45">
        <f>Simulation!E59</f>
        <v/>
      </c>
      <c r="Y60" s="46">
        <f>Simulation!D59</f>
        <v/>
      </c>
    </row>
    <row r="61">
      <c r="X61" s="45">
        <f>Simulation!E60</f>
        <v/>
      </c>
      <c r="Y61" s="46">
        <f>Simulation!D60</f>
        <v/>
      </c>
    </row>
    <row r="62">
      <c r="X62" s="45">
        <f>Simulation!E61</f>
        <v/>
      </c>
      <c r="Y62" s="46">
        <f>Simulation!D61</f>
        <v/>
      </c>
    </row>
    <row r="63">
      <c r="X63" s="45">
        <f>Simulation!E62</f>
        <v/>
      </c>
      <c r="Y63" s="46">
        <f>Simulation!D62</f>
        <v/>
      </c>
    </row>
    <row r="64">
      <c r="X64" s="45">
        <f>Simulation!E63</f>
        <v/>
      </c>
      <c r="Y64" s="46">
        <f>Simulation!D63</f>
        <v/>
      </c>
    </row>
    <row r="65">
      <c r="X65" s="45">
        <f>Simulation!E64</f>
        <v/>
      </c>
      <c r="Y65" s="46">
        <f>Simulation!D64</f>
        <v/>
      </c>
    </row>
    <row r="66">
      <c r="X66" s="45">
        <f>Simulation!E65</f>
        <v/>
      </c>
      <c r="Y66" s="46">
        <f>Simulation!D65</f>
        <v/>
      </c>
    </row>
    <row r="67">
      <c r="X67" s="45">
        <f>Simulation!E66</f>
        <v/>
      </c>
      <c r="Y67" s="46">
        <f>Simulation!D66</f>
        <v/>
      </c>
    </row>
    <row r="68">
      <c r="X68" s="45">
        <f>Simulation!E67</f>
        <v/>
      </c>
      <c r="Y68" s="46">
        <f>Simulation!D67</f>
        <v/>
      </c>
    </row>
    <row r="69">
      <c r="X69" s="45">
        <f>Simulation!E68</f>
        <v/>
      </c>
      <c r="Y69" s="46">
        <f>Simulation!D68</f>
        <v/>
      </c>
    </row>
    <row r="70">
      <c r="X70" s="45">
        <f>Simulation!E69</f>
        <v/>
      </c>
      <c r="Y70" s="46">
        <f>Simulation!D69</f>
        <v/>
      </c>
    </row>
    <row r="71">
      <c r="X71" s="45">
        <f>Simulation!E70</f>
        <v/>
      </c>
      <c r="Y71" s="46">
        <f>Simulation!D70</f>
        <v/>
      </c>
    </row>
    <row r="72">
      <c r="X72" s="45">
        <f>Simulation!E71</f>
        <v/>
      </c>
      <c r="Y72" s="46">
        <f>Simulation!D71</f>
        <v/>
      </c>
    </row>
    <row r="73">
      <c r="X73" s="45">
        <f>Simulation!E72</f>
        <v/>
      </c>
      <c r="Y73" s="46">
        <f>Simulation!D72</f>
        <v/>
      </c>
    </row>
    <row r="74">
      <c r="X74" s="45">
        <f>Simulation!E73</f>
        <v/>
      </c>
      <c r="Y74" s="46">
        <f>Simulation!D73</f>
        <v/>
      </c>
    </row>
    <row r="75">
      <c r="X75" s="45">
        <f>Simulation!E74</f>
        <v/>
      </c>
      <c r="Y75" s="46">
        <f>Simulation!D74</f>
        <v/>
      </c>
    </row>
    <row r="76">
      <c r="X76" s="45">
        <f>Simulation!E75</f>
        <v/>
      </c>
      <c r="Y76" s="46">
        <f>Simulation!D75</f>
        <v/>
      </c>
    </row>
    <row r="77">
      <c r="X77" s="45">
        <f>Simulation!E76</f>
        <v/>
      </c>
      <c r="Y77" s="46">
        <f>Simulation!D76</f>
        <v/>
      </c>
    </row>
    <row r="78">
      <c r="X78" s="45">
        <f>Simulation!E77</f>
        <v/>
      </c>
      <c r="Y78" s="46">
        <f>Simulation!D77</f>
        <v/>
      </c>
    </row>
    <row r="79">
      <c r="X79" s="45">
        <f>Simulation!E78</f>
        <v/>
      </c>
      <c r="Y79" s="46">
        <f>Simulation!D78</f>
        <v/>
      </c>
    </row>
    <row r="80">
      <c r="X80" s="45">
        <f>Simulation!E79</f>
        <v/>
      </c>
      <c r="Y80" s="46">
        <f>Simulation!D79</f>
        <v/>
      </c>
    </row>
    <row r="81">
      <c r="X81" s="45">
        <f>Simulation!E80</f>
        <v/>
      </c>
      <c r="Y81" s="46">
        <f>Simulation!D80</f>
        <v/>
      </c>
    </row>
    <row r="82">
      <c r="X82" s="45">
        <f>Simulation!E81</f>
        <v/>
      </c>
      <c r="Y82" s="46">
        <f>Simulation!D81</f>
        <v/>
      </c>
    </row>
    <row r="83">
      <c r="X83" s="45">
        <f>Simulation!E82</f>
        <v/>
      </c>
      <c r="Y83" s="46">
        <f>Simulation!D82</f>
        <v/>
      </c>
    </row>
    <row r="84">
      <c r="X84" s="45">
        <f>Simulation!E83</f>
        <v/>
      </c>
      <c r="Y84" s="46">
        <f>Simulation!D83</f>
        <v/>
      </c>
    </row>
    <row r="85">
      <c r="X85" s="45">
        <f>Simulation!E84</f>
        <v/>
      </c>
      <c r="Y85" s="46">
        <f>Simulation!D84</f>
        <v/>
      </c>
    </row>
    <row r="86">
      <c r="X86" s="45">
        <f>Simulation!E85</f>
        <v/>
      </c>
      <c r="Y86" s="46">
        <f>Simulation!D85</f>
        <v/>
      </c>
    </row>
    <row r="87">
      <c r="X87" s="45">
        <f>Simulation!E86</f>
        <v/>
      </c>
      <c r="Y87" s="46">
        <f>Simulation!D86</f>
        <v/>
      </c>
    </row>
    <row r="88">
      <c r="X88" s="45">
        <f>Simulation!E87</f>
        <v/>
      </c>
      <c r="Y88" s="46">
        <f>Simulation!D87</f>
        <v/>
      </c>
    </row>
    <row r="89">
      <c r="X89" s="45">
        <f>Simulation!E88</f>
        <v/>
      </c>
      <c r="Y89" s="46">
        <f>Simulation!D88</f>
        <v/>
      </c>
    </row>
    <row r="90">
      <c r="X90" s="45">
        <f>Simulation!E89</f>
        <v/>
      </c>
      <c r="Y90" s="46">
        <f>Simulation!D89</f>
        <v/>
      </c>
    </row>
    <row r="91">
      <c r="X91" s="45">
        <f>Simulation!E90</f>
        <v/>
      </c>
      <c r="Y91" s="46">
        <f>Simulation!D90</f>
        <v/>
      </c>
    </row>
    <row r="92">
      <c r="X92" s="45">
        <f>Simulation!E91</f>
        <v/>
      </c>
      <c r="Y92" s="46">
        <f>Simulation!D91</f>
        <v/>
      </c>
    </row>
    <row r="93">
      <c r="X93" s="45">
        <f>Simulation!E92</f>
        <v/>
      </c>
      <c r="Y93" s="46">
        <f>Simulation!D92</f>
        <v/>
      </c>
    </row>
    <row r="94">
      <c r="X94" s="45">
        <f>Simulation!E93</f>
        <v/>
      </c>
      <c r="Y94" s="46">
        <f>Simulation!D93</f>
        <v/>
      </c>
    </row>
    <row r="95">
      <c r="X95" s="45">
        <f>Simulation!E94</f>
        <v/>
      </c>
      <c r="Y95" s="46">
        <f>Simulation!D94</f>
        <v/>
      </c>
    </row>
    <row r="96">
      <c r="X96" s="45">
        <f>Simulation!E95</f>
        <v/>
      </c>
      <c r="Y96" s="46">
        <f>Simulation!D95</f>
        <v/>
      </c>
    </row>
    <row r="97">
      <c r="X97" s="45">
        <f>Simulation!E96</f>
        <v/>
      </c>
      <c r="Y97" s="46">
        <f>Simulation!D96</f>
        <v/>
      </c>
    </row>
    <row r="98">
      <c r="X98" s="45">
        <f>Simulation!E97</f>
        <v/>
      </c>
      <c r="Y98" s="46">
        <f>Simulation!D97</f>
        <v/>
      </c>
    </row>
    <row r="99">
      <c r="X99" s="45">
        <f>Simulation!E98</f>
        <v/>
      </c>
      <c r="Y99" s="46">
        <f>Simulation!D98</f>
        <v/>
      </c>
    </row>
    <row r="100">
      <c r="X100" s="45">
        <f>Simulation!E99</f>
        <v/>
      </c>
      <c r="Y100" s="46">
        <f>Simulation!D99</f>
        <v/>
      </c>
    </row>
    <row r="101">
      <c r="X101" s="45">
        <f>Simulation!E100</f>
        <v/>
      </c>
      <c r="Y101" s="46">
        <f>Simulation!D100</f>
        <v/>
      </c>
    </row>
    <row r="102">
      <c r="X102" s="45">
        <f>Simulation!E101</f>
        <v/>
      </c>
      <c r="Y102" s="46">
        <f>Simulation!D101</f>
        <v/>
      </c>
    </row>
    <row r="103">
      <c r="X103" s="45">
        <f>Simulation!E102</f>
        <v/>
      </c>
      <c r="Y103" s="46">
        <f>Simulation!D102</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A7DFF"/>
    <outlinePr summaryBelow="1" summaryRight="1"/>
    <pageSetUpPr fitToPage="1"/>
  </sheetPr>
  <dimension ref="A1:AE39"/>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6" customWidth="1" min="1" max="1"/>
    <col width="12.6" customWidth="1" min="2" max="2"/>
    <col width="33" customWidth="1" min="3" max="3"/>
    <col width="16.6" customWidth="1" min="4" max="4"/>
    <col width="26.6" customWidth="1" min="5" max="5"/>
    <col width="14.6" customWidth="1" min="6" max="6"/>
    <col width="11.6" customWidth="1" min="7" max="7"/>
    <col width="13.6" customWidth="1" min="8" max="8"/>
    <col width="18.6" customWidth="1" min="9" max="9"/>
    <col width="16.6" customWidth="1" min="10" max="10"/>
    <col width="16.6" customWidth="1" min="11" max="11"/>
    <col width="22.6" customWidth="1" min="12" max="12"/>
    <col width="19.6" customWidth="1" min="13" max="13"/>
    <col width="12.6" customWidth="1" min="14" max="14"/>
    <col width="12.6" customWidth="1" min="15" max="15"/>
    <col width="15.6" customWidth="1" min="16" max="16"/>
    <col width="16.6" customWidth="1" min="17" max="17"/>
    <col width="16.6" customWidth="1" min="18" max="18"/>
    <col width="27.6" customWidth="1" min="19" max="19"/>
    <col width="12.6" customWidth="1" min="20" max="20"/>
    <col width="19.6" customWidth="1" min="21" max="21"/>
    <col width="18.6" customWidth="1" min="22" max="22"/>
    <col width="19.6" customWidth="1" min="23" max="23"/>
    <col width="19.6" customWidth="1" min="24" max="24"/>
    <col width="18.6" customWidth="1" min="25" max="25"/>
    <col width="9.6" customWidth="1" min="26" max="26"/>
    <col width="15.6" customWidth="1" min="27" max="27"/>
    <col width="33" customWidth="1" min="28" max="28"/>
    <col width="33" customWidth="1" min="29" max="29"/>
    <col width="22.6" customWidth="1" min="30" max="30"/>
    <col width="26.6" customWidth="1" min="31" max="31"/>
  </cols>
  <sheetData>
    <row r="1">
      <c r="A1" s="8" t="n"/>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c r="AC1" s="8" t="n"/>
      <c r="AD1" s="8" t="n"/>
      <c r="AE1" s="8" t="n"/>
    </row>
    <row r="2">
      <c r="A2" s="8"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c r="AA2" s="8" t="n"/>
      <c r="AB2" s="8" t="n"/>
      <c r="AC2" s="8" t="n"/>
      <c r="AD2" s="8" t="n"/>
      <c r="AE2" s="8" t="n"/>
    </row>
    <row r="3">
      <c r="A3" s="8" t="n"/>
      <c r="B3" s="8" t="n"/>
      <c r="C3" s="8" t="n"/>
      <c r="D3" s="8" t="n"/>
      <c r="E3" s="8" t="n"/>
      <c r="F3" s="8" t="n"/>
      <c r="G3" s="8" t="n"/>
      <c r="H3" s="8" t="n"/>
      <c r="I3" s="8" t="n"/>
      <c r="J3" s="8" t="n"/>
      <c r="K3" s="8" t="n"/>
      <c r="L3" s="8" t="n"/>
      <c r="M3" s="8" t="n"/>
      <c r="N3" s="47" t="inlineStr">
        <is>
          <t>Contingent Risk Cost</t>
        </is>
      </c>
      <c r="O3" s="47" t="n"/>
      <c r="P3" s="47" t="n"/>
      <c r="Q3" s="47" t="n"/>
      <c r="R3" s="47" t="n"/>
      <c r="S3" s="47" t="n"/>
      <c r="T3" s="48" t="inlineStr">
        <is>
          <t>Time (Working Days)</t>
        </is>
      </c>
      <c r="U3" s="48" t="n"/>
      <c r="V3" s="48" t="n"/>
      <c r="W3" s="48" t="n"/>
      <c r="X3" s="48" t="n"/>
      <c r="Y3" s="48" t="n"/>
      <c r="Z3" s="49" t="inlineStr">
        <is>
          <t>Analyst / Derived (deterministic Layer 1)</t>
        </is>
      </c>
      <c r="AA3" s="49" t="n"/>
      <c r="AB3" s="49" t="n"/>
      <c r="AC3" s="49" t="n"/>
      <c r="AD3" s="49" t="n"/>
      <c r="AE3" s="50" t="inlineStr">
        <is>
          <t>Schedule Binding (P6-ready)</t>
        </is>
      </c>
    </row>
    <row r="4" ht="34" customHeight="1">
      <c r="A4" s="51" t="inlineStr">
        <is>
          <t>Risk ID</t>
        </is>
      </c>
      <c r="B4" s="51" t="inlineStr">
        <is>
          <t>Risk Status</t>
        </is>
      </c>
      <c r="C4" s="51" t="inlineStr">
        <is>
          <t>Risk Description</t>
        </is>
      </c>
      <c r="D4" s="51" t="inlineStr">
        <is>
          <t>Package</t>
        </is>
      </c>
      <c r="E4" s="51" t="inlineStr">
        <is>
          <t>RBS LVL 1</t>
        </is>
      </c>
      <c r="F4" s="51" t="inlineStr">
        <is>
          <t>RBS LVL 2</t>
        </is>
      </c>
      <c r="G4" s="51" t="inlineStr">
        <is>
          <t>MC Include</t>
        </is>
      </c>
      <c r="H4" s="51" t="inlineStr">
        <is>
          <t>Distribution</t>
        </is>
      </c>
      <c r="I4" s="51" t="inlineStr">
        <is>
          <t>Correlation Group</t>
        </is>
      </c>
      <c r="J4" s="51" t="inlineStr">
        <is>
          <t>Recurrence Type</t>
        </is>
      </c>
      <c r="K4" s="51" t="inlineStr">
        <is>
          <t>Causes</t>
        </is>
      </c>
      <c r="L4" s="51" t="inlineStr">
        <is>
          <t>Consequences</t>
        </is>
      </c>
      <c r="M4" s="51" t="inlineStr">
        <is>
          <t>Existing Controls</t>
        </is>
      </c>
      <c r="N4" s="51" t="inlineStr">
        <is>
          <t>Cost Impact</t>
        </is>
      </c>
      <c r="O4" s="51" t="inlineStr">
        <is>
          <t>Probability</t>
        </is>
      </c>
      <c r="P4" s="51" t="inlineStr">
        <is>
          <t>Optimistic ($)</t>
        </is>
      </c>
      <c r="Q4" s="51" t="inlineStr">
        <is>
          <t>Most Likely ($)</t>
        </is>
      </c>
      <c r="R4" s="51" t="inlineStr">
        <is>
          <t>Pessimistic ($)</t>
        </is>
      </c>
      <c r="S4" s="51" t="inlineStr">
        <is>
          <t>Basis of Estimate</t>
        </is>
      </c>
      <c r="T4" s="51" t="inlineStr">
        <is>
          <t>Time Impact</t>
        </is>
      </c>
      <c r="U4" s="51" t="inlineStr">
        <is>
          <t>Probability (Time)</t>
        </is>
      </c>
      <c r="V4" s="51" t="inlineStr">
        <is>
          <t>Optimistic (days)</t>
        </is>
      </c>
      <c r="W4" s="51" t="inlineStr">
        <is>
          <t>Most Likely (days)</t>
        </is>
      </c>
      <c r="X4" s="51" t="inlineStr">
        <is>
          <t>Pessimistic (days)</t>
        </is>
      </c>
      <c r="Y4" s="51" t="inlineStr">
        <is>
          <t>Basis of Estimate</t>
        </is>
      </c>
      <c r="Z4" s="51" t="inlineStr">
        <is>
          <t>Mode</t>
        </is>
      </c>
      <c r="AA4" s="51" t="inlineStr">
        <is>
          <t>Impact_Basis</t>
        </is>
      </c>
      <c r="AB4" s="51" t="inlineStr">
        <is>
          <t>EMV_cost ($)</t>
        </is>
      </c>
      <c r="AC4" s="51" t="inlineStr">
        <is>
          <t>EMV_sched_days</t>
        </is>
      </c>
      <c r="AD4" s="51" t="inlineStr">
        <is>
          <t>EMV_sched_dollars ($)</t>
        </is>
      </c>
      <c r="AE4" s="51" t="inlineStr">
        <is>
          <t>Schedule Activity ID (P6)</t>
        </is>
      </c>
    </row>
    <row r="5">
      <c r="A5" s="9" t="inlineStr">
        <is>
          <t>WT-001</t>
        </is>
      </c>
      <c r="B5" s="9" t="inlineStr">
        <is>
          <t>Open</t>
        </is>
      </c>
      <c r="C5" s="15" t="inlineStr">
        <is>
          <t>Turbine foundation rework</t>
        </is>
      </c>
      <c r="D5" s="9" t="inlineStr">
        <is>
          <t>EPC Contractor</t>
        </is>
      </c>
      <c r="E5" s="9" t="inlineStr">
        <is>
          <t>Civil &amp; Earthworks</t>
        </is>
      </c>
      <c r="F5" s="9" t="inlineStr">
        <is>
          <t>Foundations</t>
        </is>
      </c>
      <c r="G5" s="9" t="inlineStr">
        <is>
          <t>Yes</t>
        </is>
      </c>
      <c r="H5" s="9" t="inlineStr">
        <is>
          <t>PERT</t>
        </is>
      </c>
      <c r="I5" s="9" t="inlineStr">
        <is>
          <t>CG01</t>
        </is>
      </c>
      <c r="J5" s="9" t="n"/>
      <c r="K5" s="15" t="inlineStr">
        <is>
          <t>synthetic cause</t>
        </is>
      </c>
      <c r="L5" s="15" t="inlineStr">
        <is>
          <t>synthetic consequence</t>
        </is>
      </c>
      <c r="M5" s="15" t="inlineStr">
        <is>
          <t>synthetic controls</t>
        </is>
      </c>
      <c r="N5" s="9" t="inlineStr">
        <is>
          <t>Yes</t>
        </is>
      </c>
      <c r="O5" s="16" t="n">
        <v>0.45</v>
      </c>
      <c r="P5" s="52" t="n">
        <v>100000</v>
      </c>
      <c r="Q5" s="52" t="n">
        <v>300000</v>
      </c>
      <c r="R5" s="52" t="n">
        <v>700000</v>
      </c>
      <c r="S5" s="15" t="inlineStr">
        <is>
          <t>Wind Farm Beta capex basis</t>
        </is>
      </c>
      <c r="T5" s="9" t="inlineStr">
        <is>
          <t>Yes</t>
        </is>
      </c>
      <c r="U5" s="16" t="n">
        <v>0.45</v>
      </c>
      <c r="V5" s="53" t="n">
        <v>5</v>
      </c>
      <c r="W5" s="53" t="n">
        <v>12</v>
      </c>
      <c r="X5" s="53" t="n">
        <v>24</v>
      </c>
      <c r="Y5" s="15" t="inlineStr">
        <is>
          <t>Synthetic</t>
        </is>
      </c>
      <c r="Z5" s="9" t="inlineStr">
        <is>
          <t>Series</t>
        </is>
      </c>
      <c r="AA5" s="9" t="inlineStr">
        <is>
          <t>per_occurrence</t>
        </is>
      </c>
      <c r="AB5" s="54">
        <f>IF(O5="","",O5*IF(OR(LOWER(H5)="pert",LOWER(H5)="binary/pert"),(P5+4*Q5+R5)/6,IF(LOWER(H5)="binary",Q5,IF(LOWER(H5)="lognormal",IF(Q5&lt;=0,0,IF(OR(R5&lt;=P5,R5&lt;=0,P5&lt;=0),ABS(Q5),Q5*EXP((MAX((LN(R5)-LN(P5))/(2*1.2816),0.01)^2)/2))),(P5+Q5+R5)/3))))</f>
        <v/>
      </c>
      <c r="AC5" s="55">
        <f>IF(OR(T5&lt;&gt;"Yes",U5=""),0,U5*(V5+4*W5+X5)/6*IFERROR(INDEX(Methodology!$B$2:$B$20,MATCH(Z5,Methodology!$A$2:$A$20,0)),0))</f>
        <v/>
      </c>
      <c r="AD5" s="54">
        <f>AC5*MC_day_rate</f>
        <v/>
      </c>
      <c r="AE5" s="9" t="n"/>
    </row>
    <row r="6">
      <c r="A6" s="9" t="inlineStr">
        <is>
          <t>WT-002</t>
        </is>
      </c>
      <c r="B6" s="9" t="inlineStr">
        <is>
          <t>Open</t>
        </is>
      </c>
      <c r="C6" s="15" t="inlineStr">
        <is>
          <t>Access road wet-weather damage</t>
        </is>
      </c>
      <c r="D6" s="9" t="inlineStr">
        <is>
          <t>EPC Contractor</t>
        </is>
      </c>
      <c r="E6" s="9" t="inlineStr">
        <is>
          <t>Civil &amp; Earthworks</t>
        </is>
      </c>
      <c r="F6" s="9" t="inlineStr">
        <is>
          <t>Roads</t>
        </is>
      </c>
      <c r="G6" s="9" t="inlineStr">
        <is>
          <t>Yes</t>
        </is>
      </c>
      <c r="H6" s="9" t="inlineStr">
        <is>
          <t>Triangular</t>
        </is>
      </c>
      <c r="I6" s="9" t="inlineStr">
        <is>
          <t>CG01</t>
        </is>
      </c>
      <c r="J6" s="9" t="inlineStr">
        <is>
          <t>Single</t>
        </is>
      </c>
      <c r="K6" s="15" t="inlineStr">
        <is>
          <t>synthetic cause</t>
        </is>
      </c>
      <c r="L6" s="15" t="inlineStr">
        <is>
          <t>synthetic consequence</t>
        </is>
      </c>
      <c r="M6" s="15" t="inlineStr">
        <is>
          <t>synthetic controls</t>
        </is>
      </c>
      <c r="N6" s="9" t="inlineStr">
        <is>
          <t>Yes</t>
        </is>
      </c>
      <c r="O6" s="16" t="n">
        <v>0.5</v>
      </c>
      <c r="P6" s="52" t="n">
        <v>60000</v>
      </c>
      <c r="Q6" s="52" t="n">
        <v>180000</v>
      </c>
      <c r="R6" s="52" t="n">
        <v>500000</v>
      </c>
      <c r="S6" s="15" t="inlineStr">
        <is>
          <t>Wind Farm Beta capex basis</t>
        </is>
      </c>
      <c r="T6" s="9" t="inlineStr">
        <is>
          <t>Yes</t>
        </is>
      </c>
      <c r="U6" s="16" t="n">
        <v>0.5</v>
      </c>
      <c r="V6" s="53" t="n">
        <v>3</v>
      </c>
      <c r="W6" s="53" t="n">
        <v>7</v>
      </c>
      <c r="X6" s="53" t="n">
        <v>16</v>
      </c>
      <c r="Y6" s="15" t="inlineStr">
        <is>
          <t>Synthetic</t>
        </is>
      </c>
      <c r="Z6" s="9" t="inlineStr">
        <is>
          <t>Hybrid</t>
        </is>
      </c>
      <c r="AA6" s="9" t="inlineStr">
        <is>
          <t>per_occurrence</t>
        </is>
      </c>
      <c r="AB6" s="54">
        <f>IF(O6="","",O6*IF(OR(LOWER(H6)="pert",LOWER(H6)="binary/pert"),(P6+4*Q6+R6)/6,IF(LOWER(H6)="binary",Q6,IF(LOWER(H6)="lognormal",IF(Q6&lt;=0,0,IF(OR(R6&lt;=P6,R6&lt;=0,P6&lt;=0),ABS(Q6),Q6*EXP((MAX((LN(R6)-LN(P6))/(2*1.2816),0.01)^2)/2))),(P6+Q6+R6)/3))))</f>
        <v/>
      </c>
      <c r="AC6" s="55">
        <f>IF(OR(T6&lt;&gt;"Yes",U6=""),0,U6*(V6+4*W6+X6)/6*IFERROR(INDEX(Methodology!$B$2:$B$20,MATCH(Z6,Methodology!$A$2:$A$20,0)),0))</f>
        <v/>
      </c>
      <c r="AD6" s="54">
        <f>AC6*MC_day_rate</f>
        <v/>
      </c>
      <c r="AE6" s="9" t="n"/>
    </row>
    <row r="7">
      <c r="A7" s="9" t="inlineStr">
        <is>
          <t>WT-003</t>
        </is>
      </c>
      <c r="B7" s="9" t="inlineStr">
        <is>
          <t>Open</t>
        </is>
      </c>
      <c r="C7" s="15" t="inlineStr">
        <is>
          <t>Unforeseen ground conditions</t>
        </is>
      </c>
      <c r="D7" s="9" t="inlineStr">
        <is>
          <t>EPC Contractor</t>
        </is>
      </c>
      <c r="E7" s="9" t="inlineStr">
        <is>
          <t>Civil &amp; Earthworks</t>
        </is>
      </c>
      <c r="F7" s="9" t="inlineStr">
        <is>
          <t>Earthworks</t>
        </is>
      </c>
      <c r="G7" s="9" t="inlineStr">
        <is>
          <t>Yes</t>
        </is>
      </c>
      <c r="H7" s="9" t="inlineStr">
        <is>
          <t>Lognormal</t>
        </is>
      </c>
      <c r="I7" s="9" t="inlineStr">
        <is>
          <t>CG01</t>
        </is>
      </c>
      <c r="J7" s="9" t="n"/>
      <c r="K7" s="15" t="inlineStr">
        <is>
          <t>synthetic cause</t>
        </is>
      </c>
      <c r="L7" s="15" t="inlineStr">
        <is>
          <t>synthetic consequence</t>
        </is>
      </c>
      <c r="M7" s="15" t="inlineStr">
        <is>
          <t>synthetic controls</t>
        </is>
      </c>
      <c r="N7" s="9" t="inlineStr">
        <is>
          <t>Yes</t>
        </is>
      </c>
      <c r="O7" s="16" t="n">
        <v>0.35</v>
      </c>
      <c r="P7" s="52" t="n">
        <v>150000</v>
      </c>
      <c r="Q7" s="52" t="n">
        <v>400000</v>
      </c>
      <c r="R7" s="52" t="n">
        <v>1100000</v>
      </c>
      <c r="S7" s="15" t="inlineStr">
        <is>
          <t>Wind Farm Beta capex basis</t>
        </is>
      </c>
      <c r="T7" s="9" t="inlineStr">
        <is>
          <t>No</t>
        </is>
      </c>
      <c r="U7" s="16" t="n">
        <v>0</v>
      </c>
      <c r="V7" s="53" t="n">
        <v>0</v>
      </c>
      <c r="W7" s="53" t="n">
        <v>0</v>
      </c>
      <c r="X7" s="53" t="n">
        <v>0</v>
      </c>
      <c r="Y7" s="15" t="inlineStr">
        <is>
          <t>Synthetic</t>
        </is>
      </c>
      <c r="Z7" s="9" t="n"/>
      <c r="AA7" s="9" t="inlineStr">
        <is>
          <t>per_occurrence</t>
        </is>
      </c>
      <c r="AB7" s="54">
        <f>IF(O7="","",O7*IF(OR(LOWER(H7)="pert",LOWER(H7)="binary/pert"),(P7+4*Q7+R7)/6,IF(LOWER(H7)="binary",Q7,IF(LOWER(H7)="lognormal",IF(Q7&lt;=0,0,IF(OR(R7&lt;=P7,R7&lt;=0,P7&lt;=0),ABS(Q7),Q7*EXP((MAX((LN(R7)-LN(P7))/(2*1.2816),0.01)^2)/2))),(P7+Q7+R7)/3))))</f>
        <v/>
      </c>
      <c r="AC7" s="55">
        <f>IF(OR(T7&lt;&gt;"Yes",U7=""),0,U7*(V7+4*W7+X7)/6*IFERROR(INDEX(Methodology!$B$2:$B$20,MATCH(Z7,Methodology!$A$2:$A$20,0)),0))</f>
        <v/>
      </c>
      <c r="AD7" s="54">
        <f>AC7*MC_day_rate</f>
        <v/>
      </c>
      <c r="AE7" s="9" t="n"/>
    </row>
    <row r="8">
      <c r="A8" s="9" t="inlineStr">
        <is>
          <t>WT-004</t>
        </is>
      </c>
      <c r="B8" s="9" t="inlineStr">
        <is>
          <t>Open</t>
        </is>
      </c>
      <c r="C8" s="15" t="inlineStr">
        <is>
          <t>Hardstand settlement</t>
        </is>
      </c>
      <c r="D8" s="9" t="inlineStr">
        <is>
          <t>EPC Contractor</t>
        </is>
      </c>
      <c r="E8" s="9" t="inlineStr">
        <is>
          <t>Civil &amp; Earthworks</t>
        </is>
      </c>
      <c r="F8" s="9" t="inlineStr">
        <is>
          <t>Hardstands</t>
        </is>
      </c>
      <c r="G8" s="9" t="inlineStr">
        <is>
          <t>Yes</t>
        </is>
      </c>
      <c r="H8" s="9" t="inlineStr">
        <is>
          <t>PERT</t>
        </is>
      </c>
      <c r="I8" s="9" t="inlineStr">
        <is>
          <t>CG01</t>
        </is>
      </c>
      <c r="J8" s="9" t="n"/>
      <c r="K8" s="15" t="inlineStr">
        <is>
          <t>synthetic cause</t>
        </is>
      </c>
      <c r="L8" s="15" t="inlineStr">
        <is>
          <t>synthetic consequence</t>
        </is>
      </c>
      <c r="M8" s="15" t="inlineStr">
        <is>
          <t>synthetic controls</t>
        </is>
      </c>
      <c r="N8" s="9" t="inlineStr">
        <is>
          <t>Yes</t>
        </is>
      </c>
      <c r="O8" s="16" t="n">
        <v>0.25</v>
      </c>
      <c r="P8" s="52" t="n">
        <v>40000</v>
      </c>
      <c r="Q8" s="52" t="n">
        <v>120000</v>
      </c>
      <c r="R8" s="52" t="n">
        <v>350000</v>
      </c>
      <c r="S8" s="15" t="inlineStr">
        <is>
          <t>Wind Farm Beta capex basis</t>
        </is>
      </c>
      <c r="T8" s="9" t="inlineStr">
        <is>
          <t>No</t>
        </is>
      </c>
      <c r="U8" s="16" t="n">
        <v>0</v>
      </c>
      <c r="V8" s="53" t="n">
        <v>0</v>
      </c>
      <c r="W8" s="53" t="n">
        <v>0</v>
      </c>
      <c r="X8" s="53" t="n">
        <v>0</v>
      </c>
      <c r="Y8" s="15" t="inlineStr">
        <is>
          <t>Synthetic</t>
        </is>
      </c>
      <c r="Z8" s="9" t="n"/>
      <c r="AA8" s="9" t="inlineStr">
        <is>
          <t>per_occurrence</t>
        </is>
      </c>
      <c r="AB8" s="54">
        <f>IF(O8="","",O8*IF(OR(LOWER(H8)="pert",LOWER(H8)="binary/pert"),(P8+4*Q8+R8)/6,IF(LOWER(H8)="binary",Q8,IF(LOWER(H8)="lognormal",IF(Q8&lt;=0,0,IF(OR(R8&lt;=P8,R8&lt;=0,P8&lt;=0),ABS(Q8),Q8*EXP((MAX((LN(R8)-LN(P8))/(2*1.2816),0.01)^2)/2))),(P8+Q8+R8)/3))))</f>
        <v/>
      </c>
      <c r="AC8" s="55">
        <f>IF(OR(T8&lt;&gt;"Yes",U8=""),0,U8*(V8+4*W8+X8)/6*IFERROR(INDEX(Methodology!$B$2:$B$20,MATCH(Z8,Methodology!$A$2:$A$20,0)),0))</f>
        <v/>
      </c>
      <c r="AD8" s="54">
        <f>AC8*MC_day_rate</f>
        <v/>
      </c>
      <c r="AE8" s="9" t="n"/>
    </row>
    <row r="9">
      <c r="A9" s="9" t="inlineStr">
        <is>
          <t>WT-005</t>
        </is>
      </c>
      <c r="B9" s="9" t="inlineStr">
        <is>
          <t>Open</t>
        </is>
      </c>
      <c r="C9" s="15" t="inlineStr">
        <is>
          <t>Bulk earthworks quantity overrun</t>
        </is>
      </c>
      <c r="D9" s="9" t="inlineStr">
        <is>
          <t>EPC Contractor</t>
        </is>
      </c>
      <c r="E9" s="9" t="inlineStr">
        <is>
          <t>Civil &amp; Earthworks</t>
        </is>
      </c>
      <c r="F9" s="9" t="inlineStr">
        <is>
          <t>Earthworks</t>
        </is>
      </c>
      <c r="G9" s="9" t="inlineStr">
        <is>
          <t>Yes</t>
        </is>
      </c>
      <c r="H9" s="9" t="inlineStr">
        <is>
          <t>Triangular</t>
        </is>
      </c>
      <c r="I9" s="9" t="inlineStr">
        <is>
          <t>CG01</t>
        </is>
      </c>
      <c r="J9" s="9" t="n"/>
      <c r="K9" s="15" t="inlineStr">
        <is>
          <t>synthetic cause</t>
        </is>
      </c>
      <c r="L9" s="15" t="inlineStr">
        <is>
          <t>synthetic consequence</t>
        </is>
      </c>
      <c r="M9" s="15" t="inlineStr">
        <is>
          <t>synthetic controls</t>
        </is>
      </c>
      <c r="N9" s="9" t="inlineStr">
        <is>
          <t>Yes</t>
        </is>
      </c>
      <c r="O9" s="16" t="n">
        <v>0.55</v>
      </c>
      <c r="P9" s="52" t="n">
        <v>80000</v>
      </c>
      <c r="Q9" s="52" t="n">
        <v>220000</v>
      </c>
      <c r="R9" s="52" t="n">
        <v>480000</v>
      </c>
      <c r="S9" s="15" t="inlineStr">
        <is>
          <t>Wind Farm Beta capex basis</t>
        </is>
      </c>
      <c r="T9" s="9" t="inlineStr">
        <is>
          <t>No</t>
        </is>
      </c>
      <c r="U9" s="16" t="n">
        <v>0</v>
      </c>
      <c r="V9" s="53" t="n">
        <v>0</v>
      </c>
      <c r="W9" s="53" t="n">
        <v>0</v>
      </c>
      <c r="X9" s="53" t="n">
        <v>0</v>
      </c>
      <c r="Y9" s="15" t="inlineStr">
        <is>
          <t>Synthetic</t>
        </is>
      </c>
      <c r="Z9" s="9" t="n"/>
      <c r="AA9" s="9" t="inlineStr">
        <is>
          <t>per_occurrence</t>
        </is>
      </c>
      <c r="AB9" s="54">
        <f>IF(O9="","",O9*IF(OR(LOWER(H9)="pert",LOWER(H9)="binary/pert"),(P9+4*Q9+R9)/6,IF(LOWER(H9)="binary",Q9,IF(LOWER(H9)="lognormal",IF(Q9&lt;=0,0,IF(OR(R9&lt;=P9,R9&lt;=0,P9&lt;=0),ABS(Q9),Q9*EXP((MAX((LN(R9)-LN(P9))/(2*1.2816),0.01)^2)/2))),(P9+Q9+R9)/3))))</f>
        <v/>
      </c>
      <c r="AC9" s="55">
        <f>IF(OR(T9&lt;&gt;"Yes",U9=""),0,U9*(V9+4*W9+X9)/6*IFERROR(INDEX(Methodology!$B$2:$B$20,MATCH(Z9,Methodology!$A$2:$A$20,0)),0))</f>
        <v/>
      </c>
      <c r="AD9" s="54">
        <f>AC9*MC_day_rate</f>
        <v/>
      </c>
      <c r="AE9" s="9" t="n"/>
    </row>
    <row r="10">
      <c r="A10" s="9" t="inlineStr">
        <is>
          <t>WT-006</t>
        </is>
      </c>
      <c r="B10" s="9" t="inlineStr">
        <is>
          <t>Open</t>
        </is>
      </c>
      <c r="C10" s="15" t="inlineStr">
        <is>
          <t>Drainage &amp; culvert rework</t>
        </is>
      </c>
      <c r="D10" s="9" t="inlineStr">
        <is>
          <t>EPC Contractor</t>
        </is>
      </c>
      <c r="E10" s="9" t="inlineStr">
        <is>
          <t>Civil &amp; Earthworks</t>
        </is>
      </c>
      <c r="F10" s="9" t="inlineStr">
        <is>
          <t>Drainage</t>
        </is>
      </c>
      <c r="G10" s="9" t="inlineStr">
        <is>
          <t>Yes</t>
        </is>
      </c>
      <c r="H10" s="9" t="inlineStr">
        <is>
          <t>PERT</t>
        </is>
      </c>
      <c r="I10" s="9" t="inlineStr">
        <is>
          <t>CG01</t>
        </is>
      </c>
      <c r="J10" s="9" t="n"/>
      <c r="K10" s="15" t="inlineStr">
        <is>
          <t>synthetic cause</t>
        </is>
      </c>
      <c r="L10" s="15" t="inlineStr">
        <is>
          <t>synthetic consequence</t>
        </is>
      </c>
      <c r="M10" s="15" t="inlineStr">
        <is>
          <t>synthetic controls</t>
        </is>
      </c>
      <c r="N10" s="9" t="inlineStr">
        <is>
          <t>Yes</t>
        </is>
      </c>
      <c r="O10" s="16" t="n">
        <v>0.3</v>
      </c>
      <c r="P10" s="52" t="n">
        <v>50000</v>
      </c>
      <c r="Q10" s="52" t="n">
        <v>140000</v>
      </c>
      <c r="R10" s="52" t="n">
        <v>300000</v>
      </c>
      <c r="S10" s="15" t="inlineStr">
        <is>
          <t>Wind Farm Beta capex basis</t>
        </is>
      </c>
      <c r="T10" s="9" t="inlineStr">
        <is>
          <t>No</t>
        </is>
      </c>
      <c r="U10" s="16" t="n">
        <v>0</v>
      </c>
      <c r="V10" s="53" t="n">
        <v>0</v>
      </c>
      <c r="W10" s="53" t="n">
        <v>0</v>
      </c>
      <c r="X10" s="53" t="n">
        <v>0</v>
      </c>
      <c r="Y10" s="15" t="inlineStr">
        <is>
          <t>Synthetic</t>
        </is>
      </c>
      <c r="Z10" s="9" t="n"/>
      <c r="AA10" s="9" t="inlineStr">
        <is>
          <t>per_occurrence</t>
        </is>
      </c>
      <c r="AB10" s="54">
        <f>IF(O10="","",O10*IF(OR(LOWER(H10)="pert",LOWER(H10)="binary/pert"),(P10+4*Q10+R10)/6,IF(LOWER(H10)="binary",Q10,IF(LOWER(H10)="lognormal",IF(Q10&lt;=0,0,IF(OR(R10&lt;=P10,R10&lt;=0,P10&lt;=0),ABS(Q10),Q10*EXP((MAX((LN(R10)-LN(P10))/(2*1.2816),0.01)^2)/2))),(P10+Q10+R10)/3))))</f>
        <v/>
      </c>
      <c r="AC10" s="55">
        <f>IF(OR(T10&lt;&gt;"Yes",U10=""),0,U10*(V10+4*W10+X10)/6*IFERROR(INDEX(Methodology!$B$2:$B$20,MATCH(Z10,Methodology!$A$2:$A$20,0)),0))</f>
        <v/>
      </c>
      <c r="AD10" s="54">
        <f>AC10*MC_day_rate</f>
        <v/>
      </c>
      <c r="AE10" s="9" t="n"/>
    </row>
    <row r="11">
      <c r="A11" s="9" t="inlineStr">
        <is>
          <t>WT-007</t>
        </is>
      </c>
      <c r="B11" s="9" t="inlineStr">
        <is>
          <t>Open</t>
        </is>
      </c>
      <c r="C11" s="15" t="inlineStr">
        <is>
          <t>Erosion &amp; sediment control overrun</t>
        </is>
      </c>
      <c r="D11" s="9" t="inlineStr">
        <is>
          <t>Shared</t>
        </is>
      </c>
      <c r="E11" s="9" t="inlineStr">
        <is>
          <t>Civil &amp; Earthworks</t>
        </is>
      </c>
      <c r="F11" s="9" t="inlineStr">
        <is>
          <t>Environmental</t>
        </is>
      </c>
      <c r="G11" s="9" t="inlineStr">
        <is>
          <t>Yes</t>
        </is>
      </c>
      <c r="H11" s="9" t="inlineStr">
        <is>
          <t>Triangular</t>
        </is>
      </c>
      <c r="I11" s="9" t="inlineStr">
        <is>
          <t>CG01</t>
        </is>
      </c>
      <c r="J11" s="9" t="n"/>
      <c r="K11" s="15" t="inlineStr">
        <is>
          <t>synthetic cause</t>
        </is>
      </c>
      <c r="L11" s="15" t="inlineStr">
        <is>
          <t>synthetic consequence</t>
        </is>
      </c>
      <c r="M11" s="15" t="inlineStr">
        <is>
          <t>synthetic controls</t>
        </is>
      </c>
      <c r="N11" s="9" t="inlineStr">
        <is>
          <t>Yes</t>
        </is>
      </c>
      <c r="O11" s="16" t="n">
        <v>0.4</v>
      </c>
      <c r="P11" s="52" t="n">
        <v>30000</v>
      </c>
      <c r="Q11" s="52" t="n">
        <v>90000</v>
      </c>
      <c r="R11" s="52" t="n">
        <v>220000</v>
      </c>
      <c r="S11" s="15" t="inlineStr">
        <is>
          <t>Wind Farm Beta capex basis</t>
        </is>
      </c>
      <c r="T11" s="9" t="inlineStr">
        <is>
          <t>No</t>
        </is>
      </c>
      <c r="U11" s="16" t="n">
        <v>0</v>
      </c>
      <c r="V11" s="53" t="n">
        <v>0</v>
      </c>
      <c r="W11" s="53" t="n">
        <v>0</v>
      </c>
      <c r="X11" s="53" t="n">
        <v>0</v>
      </c>
      <c r="Y11" s="15" t="inlineStr">
        <is>
          <t>Synthetic</t>
        </is>
      </c>
      <c r="Z11" s="9" t="n"/>
      <c r="AA11" s="9" t="inlineStr">
        <is>
          <t>per_occurrence</t>
        </is>
      </c>
      <c r="AB11" s="54">
        <f>IF(O11="","",O11*IF(OR(LOWER(H11)="pert",LOWER(H11)="binary/pert"),(P11+4*Q11+R11)/6,IF(LOWER(H11)="binary",Q11,IF(LOWER(H11)="lognormal",IF(Q11&lt;=0,0,IF(OR(R11&lt;=P11,R11&lt;=0,P11&lt;=0),ABS(Q11),Q11*EXP((MAX((LN(R11)-LN(P11))/(2*1.2816),0.01)^2)/2))),(P11+Q11+R11)/3))))</f>
        <v/>
      </c>
      <c r="AC11" s="55">
        <f>IF(OR(T11&lt;&gt;"Yes",U11=""),0,U11*(V11+4*W11+X11)/6*IFERROR(INDEX(Methodology!$B$2:$B$20,MATCH(Z11,Methodology!$A$2:$A$20,0)),0))</f>
        <v/>
      </c>
      <c r="AD11" s="54">
        <f>AC11*MC_day_rate</f>
        <v/>
      </c>
      <c r="AE11" s="9" t="n"/>
    </row>
    <row r="12">
      <c r="A12" s="9" t="inlineStr">
        <is>
          <t>WT-008</t>
        </is>
      </c>
      <c r="B12" s="9" t="inlineStr">
        <is>
          <t>Open</t>
        </is>
      </c>
      <c r="C12" s="15" t="inlineStr">
        <is>
          <t>WTG delivery delay (long-lead)</t>
        </is>
      </c>
      <c r="D12" s="9" t="inlineStr">
        <is>
          <t>Wind Farm Owner</t>
        </is>
      </c>
      <c r="E12" s="9" t="inlineStr">
        <is>
          <t>Turbine Supply &amp; Erection</t>
        </is>
      </c>
      <c r="F12" s="9" t="inlineStr">
        <is>
          <t>Procurement</t>
        </is>
      </c>
      <c r="G12" s="9" t="inlineStr">
        <is>
          <t>Yes</t>
        </is>
      </c>
      <c r="H12" s="9" t="inlineStr">
        <is>
          <t>PERT</t>
        </is>
      </c>
      <c r="I12" s="9" t="inlineStr">
        <is>
          <t>CG02</t>
        </is>
      </c>
      <c r="J12" s="9" t="n"/>
      <c r="K12" s="15" t="inlineStr">
        <is>
          <t>synthetic cause</t>
        </is>
      </c>
      <c r="L12" s="15" t="inlineStr">
        <is>
          <t>synthetic consequence</t>
        </is>
      </c>
      <c r="M12" s="15" t="inlineStr">
        <is>
          <t>synthetic controls</t>
        </is>
      </c>
      <c r="N12" s="9" t="inlineStr">
        <is>
          <t>Yes</t>
        </is>
      </c>
      <c r="O12" s="16" t="n">
        <v>0.4</v>
      </c>
      <c r="P12" s="52" t="n">
        <v>200000</v>
      </c>
      <c r="Q12" s="52" t="n">
        <v>600000</v>
      </c>
      <c r="R12" s="52" t="n">
        <v>1500000</v>
      </c>
      <c r="S12" s="15" t="inlineStr">
        <is>
          <t>Wind Farm Beta capex basis</t>
        </is>
      </c>
      <c r="T12" s="9" t="inlineStr">
        <is>
          <t>Yes</t>
        </is>
      </c>
      <c r="U12" s="16" t="n">
        <v>0.4</v>
      </c>
      <c r="V12" s="53" t="n">
        <v>8</v>
      </c>
      <c r="W12" s="53" t="n">
        <v>20</v>
      </c>
      <c r="X12" s="53" t="n">
        <v>45</v>
      </c>
      <c r="Y12" s="15" t="inlineStr">
        <is>
          <t>Synthetic</t>
        </is>
      </c>
      <c r="Z12" s="9" t="inlineStr">
        <is>
          <t>Series</t>
        </is>
      </c>
      <c r="AA12" s="9" t="inlineStr">
        <is>
          <t>per_occurrence</t>
        </is>
      </c>
      <c r="AB12" s="54">
        <f>IF(O12="","",O12*IF(OR(LOWER(H12)="pert",LOWER(H12)="binary/pert"),(P12+4*Q12+R12)/6,IF(LOWER(H12)="binary",Q12,IF(LOWER(H12)="lognormal",IF(Q12&lt;=0,0,IF(OR(R12&lt;=P12,R12&lt;=0,P12&lt;=0),ABS(Q12),Q12*EXP((MAX((LN(R12)-LN(P12))/(2*1.2816),0.01)^2)/2))),(P12+Q12+R12)/3))))</f>
        <v/>
      </c>
      <c r="AC12" s="55">
        <f>IF(OR(T12&lt;&gt;"Yes",U12=""),0,U12*(V12+4*W12+X12)/6*IFERROR(INDEX(Methodology!$B$2:$B$20,MATCH(Z12,Methodology!$A$2:$A$20,0)),0))</f>
        <v/>
      </c>
      <c r="AD12" s="54">
        <f>AC12*MC_day_rate</f>
        <v/>
      </c>
      <c r="AE12" s="9" t="n"/>
    </row>
    <row r="13">
      <c r="A13" s="9" t="inlineStr">
        <is>
          <t>WT-009</t>
        </is>
      </c>
      <c r="B13" s="9" t="inlineStr">
        <is>
          <t>Open</t>
        </is>
      </c>
      <c r="C13" s="15" t="inlineStr">
        <is>
          <t>Main crane mobilisation delay</t>
        </is>
      </c>
      <c r="D13" s="9" t="inlineStr">
        <is>
          <t>EPC Contractor</t>
        </is>
      </c>
      <c r="E13" s="9" t="inlineStr">
        <is>
          <t>Turbine Supply &amp; Erection</t>
        </is>
      </c>
      <c r="F13" s="9" t="inlineStr">
        <is>
          <t>Heavy Lift</t>
        </is>
      </c>
      <c r="G13" s="9" t="inlineStr">
        <is>
          <t>Yes</t>
        </is>
      </c>
      <c r="H13" s="9" t="inlineStr">
        <is>
          <t>Triangular</t>
        </is>
      </c>
      <c r="I13" s="9" t="inlineStr">
        <is>
          <t>CG02</t>
        </is>
      </c>
      <c r="J13" s="9" t="n"/>
      <c r="K13" s="15" t="inlineStr">
        <is>
          <t>synthetic cause</t>
        </is>
      </c>
      <c r="L13" s="15" t="inlineStr">
        <is>
          <t>synthetic consequence</t>
        </is>
      </c>
      <c r="M13" s="15" t="inlineStr">
        <is>
          <t>synthetic controls</t>
        </is>
      </c>
      <c r="N13" s="9" t="inlineStr">
        <is>
          <t>Yes</t>
        </is>
      </c>
      <c r="O13" s="16" t="n">
        <v>0.45</v>
      </c>
      <c r="P13" s="52" t="n">
        <v>150000</v>
      </c>
      <c r="Q13" s="52" t="n">
        <v>450000</v>
      </c>
      <c r="R13" s="52" t="n">
        <v>1200000</v>
      </c>
      <c r="S13" s="15" t="inlineStr">
        <is>
          <t>Wind Farm Beta capex basis</t>
        </is>
      </c>
      <c r="T13" s="9" t="inlineStr">
        <is>
          <t>Yes</t>
        </is>
      </c>
      <c r="U13" s="16" t="n">
        <v>0.45</v>
      </c>
      <c r="V13" s="53" t="n">
        <v>4</v>
      </c>
      <c r="W13" s="53" t="n">
        <v>10</v>
      </c>
      <c r="X13" s="53" t="n">
        <v>24</v>
      </c>
      <c r="Y13" s="15" t="inlineStr">
        <is>
          <t>Synthetic</t>
        </is>
      </c>
      <c r="Z13" s="9" t="inlineStr">
        <is>
          <t>Hybrid</t>
        </is>
      </c>
      <c r="AA13" s="9" t="inlineStr">
        <is>
          <t>per_occurrence</t>
        </is>
      </c>
      <c r="AB13" s="54">
        <f>IF(O13="","",O13*IF(OR(LOWER(H13)="pert",LOWER(H13)="binary/pert"),(P13+4*Q13+R13)/6,IF(LOWER(H13)="binary",Q13,IF(LOWER(H13)="lognormal",IF(Q13&lt;=0,0,IF(OR(R13&lt;=P13,R13&lt;=0,P13&lt;=0),ABS(Q13),Q13*EXP((MAX((LN(R13)-LN(P13))/(2*1.2816),0.01)^2)/2))),(P13+Q13+R13)/3))))</f>
        <v/>
      </c>
      <c r="AC13" s="55">
        <f>IF(OR(T13&lt;&gt;"Yes",U13=""),0,U13*(V13+4*W13+X13)/6*IFERROR(INDEX(Methodology!$B$2:$B$20,MATCH(Z13,Methodology!$A$2:$A$20,0)),0))</f>
        <v/>
      </c>
      <c r="AD13" s="54">
        <f>AC13*MC_day_rate</f>
        <v/>
      </c>
      <c r="AE13" s="9" t="n"/>
    </row>
    <row r="14">
      <c r="A14" s="9" t="inlineStr">
        <is>
          <t>WT-010</t>
        </is>
      </c>
      <c r="B14" s="9" t="inlineStr">
        <is>
          <t>Open</t>
        </is>
      </c>
      <c r="C14" s="15" t="inlineStr">
        <is>
          <t>Blade transport damage</t>
        </is>
      </c>
      <c r="D14" s="9" t="inlineStr">
        <is>
          <t>EPC Contractor</t>
        </is>
      </c>
      <c r="E14" s="9" t="inlineStr">
        <is>
          <t>Turbine Supply &amp; Erection</t>
        </is>
      </c>
      <c r="F14" s="9" t="inlineStr">
        <is>
          <t>Logistics</t>
        </is>
      </c>
      <c r="G14" s="9" t="inlineStr">
        <is>
          <t>Yes</t>
        </is>
      </c>
      <c r="H14" s="9" t="inlineStr">
        <is>
          <t>PERT</t>
        </is>
      </c>
      <c r="I14" s="9" t="inlineStr">
        <is>
          <t>CG02</t>
        </is>
      </c>
      <c r="J14" s="9" t="n"/>
      <c r="K14" s="15" t="inlineStr">
        <is>
          <t>synthetic cause</t>
        </is>
      </c>
      <c r="L14" s="15" t="inlineStr">
        <is>
          <t>synthetic consequence</t>
        </is>
      </c>
      <c r="M14" s="15" t="inlineStr">
        <is>
          <t>synthetic controls</t>
        </is>
      </c>
      <c r="N14" s="9" t="inlineStr">
        <is>
          <t>Yes</t>
        </is>
      </c>
      <c r="O14" s="16" t="n">
        <v>0.3</v>
      </c>
      <c r="P14" s="52" t="n">
        <v>120000</v>
      </c>
      <c r="Q14" s="52" t="n">
        <v>350000</v>
      </c>
      <c r="R14" s="52" t="n">
        <v>900000</v>
      </c>
      <c r="S14" s="15" t="inlineStr">
        <is>
          <t>Wind Farm Beta capex basis</t>
        </is>
      </c>
      <c r="T14" s="9" t="inlineStr">
        <is>
          <t>No</t>
        </is>
      </c>
      <c r="U14" s="16" t="n">
        <v>0</v>
      </c>
      <c r="V14" s="53" t="n">
        <v>0</v>
      </c>
      <c r="W14" s="53" t="n">
        <v>0</v>
      </c>
      <c r="X14" s="53" t="n">
        <v>0</v>
      </c>
      <c r="Y14" s="15" t="inlineStr">
        <is>
          <t>Synthetic</t>
        </is>
      </c>
      <c r="Z14" s="9" t="n"/>
      <c r="AA14" s="9" t="inlineStr">
        <is>
          <t>per_occurrence</t>
        </is>
      </c>
      <c r="AB14" s="54">
        <f>IF(O14="","",O14*IF(OR(LOWER(H14)="pert",LOWER(H14)="binary/pert"),(P14+4*Q14+R14)/6,IF(LOWER(H14)="binary",Q14,IF(LOWER(H14)="lognormal",IF(Q14&lt;=0,0,IF(OR(R14&lt;=P14,R14&lt;=0,P14&lt;=0),ABS(Q14),Q14*EXP((MAX((LN(R14)-LN(P14))/(2*1.2816),0.01)^2)/2))),(P14+Q14+R14)/3))))</f>
        <v/>
      </c>
      <c r="AC14" s="55">
        <f>IF(OR(T14&lt;&gt;"Yes",U14=""),0,U14*(V14+4*W14+X14)/6*IFERROR(INDEX(Methodology!$B$2:$B$20,MATCH(Z14,Methodology!$A$2:$A$20,0)),0))</f>
        <v/>
      </c>
      <c r="AD14" s="54">
        <f>AC14*MC_day_rate</f>
        <v/>
      </c>
      <c r="AE14" s="9" t="n"/>
    </row>
    <row r="15">
      <c r="A15" s="9" t="inlineStr">
        <is>
          <t>WT-011</t>
        </is>
      </c>
      <c r="B15" s="9" t="inlineStr">
        <is>
          <t>Open</t>
        </is>
      </c>
      <c r="C15" s="15" t="inlineStr">
        <is>
          <t>Tower section nonconformance</t>
        </is>
      </c>
      <c r="D15" s="9" t="inlineStr">
        <is>
          <t>Wind Farm Owner</t>
        </is>
      </c>
      <c r="E15" s="9" t="inlineStr">
        <is>
          <t>Turbine Supply &amp; Erection</t>
        </is>
      </c>
      <c r="F15" s="9" t="inlineStr">
        <is>
          <t>Quality</t>
        </is>
      </c>
      <c r="G15" s="9" t="inlineStr">
        <is>
          <t>Yes</t>
        </is>
      </c>
      <c r="H15" s="9" t="inlineStr">
        <is>
          <t>Lognormal</t>
        </is>
      </c>
      <c r="I15" s="9" t="inlineStr">
        <is>
          <t>CG02</t>
        </is>
      </c>
      <c r="J15" s="9" t="n"/>
      <c r="K15" s="15" t="inlineStr">
        <is>
          <t>synthetic cause</t>
        </is>
      </c>
      <c r="L15" s="15" t="inlineStr">
        <is>
          <t>synthetic consequence</t>
        </is>
      </c>
      <c r="M15" s="15" t="inlineStr">
        <is>
          <t>synthetic controls</t>
        </is>
      </c>
      <c r="N15" s="9" t="inlineStr">
        <is>
          <t>Yes</t>
        </is>
      </c>
      <c r="O15" s="16" t="n">
        <v>0.25</v>
      </c>
      <c r="P15" s="52" t="n">
        <v>200000</v>
      </c>
      <c r="Q15" s="52" t="n">
        <v>500000</v>
      </c>
      <c r="R15" s="52" t="n">
        <v>1400000</v>
      </c>
      <c r="S15" s="15" t="inlineStr">
        <is>
          <t>Wind Farm Beta capex basis</t>
        </is>
      </c>
      <c r="T15" s="9" t="inlineStr">
        <is>
          <t>No</t>
        </is>
      </c>
      <c r="U15" s="16" t="n">
        <v>0</v>
      </c>
      <c r="V15" s="53" t="n">
        <v>0</v>
      </c>
      <c r="W15" s="53" t="n">
        <v>0</v>
      </c>
      <c r="X15" s="53" t="n">
        <v>0</v>
      </c>
      <c r="Y15" s="15" t="inlineStr">
        <is>
          <t>Synthetic</t>
        </is>
      </c>
      <c r="Z15" s="9" t="n"/>
      <c r="AA15" s="9" t="inlineStr">
        <is>
          <t>per_occurrence</t>
        </is>
      </c>
      <c r="AB15" s="54">
        <f>IF(O15="","",O15*IF(OR(LOWER(H15)="pert",LOWER(H15)="binary/pert"),(P15+4*Q15+R15)/6,IF(LOWER(H15)="binary",Q15,IF(LOWER(H15)="lognormal",IF(Q15&lt;=0,0,IF(OR(R15&lt;=P15,R15&lt;=0,P15&lt;=0),ABS(Q15),Q15*EXP((MAX((LN(R15)-LN(P15))/(2*1.2816),0.01)^2)/2))),(P15+Q15+R15)/3))))</f>
        <v/>
      </c>
      <c r="AC15" s="55">
        <f>IF(OR(T15&lt;&gt;"Yes",U15=""),0,U15*(V15+4*W15+X15)/6*IFERROR(INDEX(Methodology!$B$2:$B$20,MATCH(Z15,Methodology!$A$2:$A$20,0)),0))</f>
        <v/>
      </c>
      <c r="AD15" s="54">
        <f>AC15*MC_day_rate</f>
        <v/>
      </c>
      <c r="AE15" s="9" t="n"/>
    </row>
    <row r="16">
      <c r="A16" s="9" t="inlineStr">
        <is>
          <t>WT-012</t>
        </is>
      </c>
      <c r="B16" s="9" t="inlineStr">
        <is>
          <t>Open</t>
        </is>
      </c>
      <c r="C16" s="15" t="inlineStr">
        <is>
          <t>Erection weather standby</t>
        </is>
      </c>
      <c r="D16" s="9" t="inlineStr">
        <is>
          <t>EPC Contractor</t>
        </is>
      </c>
      <c r="E16" s="9" t="inlineStr">
        <is>
          <t>Turbine Supply &amp; Erection</t>
        </is>
      </c>
      <c r="F16" s="9" t="inlineStr">
        <is>
          <t>Weather</t>
        </is>
      </c>
      <c r="G16" s="9" t="inlineStr">
        <is>
          <t>Yes</t>
        </is>
      </c>
      <c r="H16" s="9" t="inlineStr">
        <is>
          <t>Triangular</t>
        </is>
      </c>
      <c r="I16" s="9" t="inlineStr">
        <is>
          <t>CG02</t>
        </is>
      </c>
      <c r="J16" s="9" t="n"/>
      <c r="K16" s="15" t="inlineStr">
        <is>
          <t>synthetic cause</t>
        </is>
      </c>
      <c r="L16" s="15" t="inlineStr">
        <is>
          <t>synthetic consequence</t>
        </is>
      </c>
      <c r="M16" s="15" t="inlineStr">
        <is>
          <t>synthetic controls</t>
        </is>
      </c>
      <c r="N16" s="9" t="inlineStr">
        <is>
          <t>Yes</t>
        </is>
      </c>
      <c r="O16" s="16" t="n">
        <v>0.6</v>
      </c>
      <c r="P16" s="52" t="n">
        <v>100000</v>
      </c>
      <c r="Q16" s="52" t="n">
        <v>300000</v>
      </c>
      <c r="R16" s="52" t="n">
        <v>800000</v>
      </c>
      <c r="S16" s="15" t="inlineStr">
        <is>
          <t>Wind Farm Beta capex basis</t>
        </is>
      </c>
      <c r="T16" s="9" t="inlineStr">
        <is>
          <t>No</t>
        </is>
      </c>
      <c r="U16" s="16" t="n">
        <v>0</v>
      </c>
      <c r="V16" s="53" t="n">
        <v>0</v>
      </c>
      <c r="W16" s="53" t="n">
        <v>0</v>
      </c>
      <c r="X16" s="53" t="n">
        <v>0</v>
      </c>
      <c r="Y16" s="15" t="inlineStr">
        <is>
          <t>Synthetic</t>
        </is>
      </c>
      <c r="Z16" s="9" t="n"/>
      <c r="AA16" s="9" t="inlineStr">
        <is>
          <t>per_occurrence</t>
        </is>
      </c>
      <c r="AB16" s="54">
        <f>IF(O16="","",O16*IF(OR(LOWER(H16)="pert",LOWER(H16)="binary/pert"),(P16+4*Q16+R16)/6,IF(LOWER(H16)="binary",Q16,IF(LOWER(H16)="lognormal",IF(Q16&lt;=0,0,IF(OR(R16&lt;=P16,R16&lt;=0,P16&lt;=0),ABS(Q16),Q16*EXP((MAX((LN(R16)-LN(P16))/(2*1.2816),0.01)^2)/2))),(P16+Q16+R16)/3))))</f>
        <v/>
      </c>
      <c r="AC16" s="55">
        <f>IF(OR(T16&lt;&gt;"Yes",U16=""),0,U16*(V16+4*W16+X16)/6*IFERROR(INDEX(Methodology!$B$2:$B$20,MATCH(Z16,Methodology!$A$2:$A$20,0)),0))</f>
        <v/>
      </c>
      <c r="AD16" s="54">
        <f>AC16*MC_day_rate</f>
        <v/>
      </c>
      <c r="AE16" s="9" t="n"/>
    </row>
    <row r="17">
      <c r="A17" s="9" t="inlineStr">
        <is>
          <t>WT-013</t>
        </is>
      </c>
      <c r="B17" s="9" t="inlineStr">
        <is>
          <t>Open</t>
        </is>
      </c>
      <c r="C17" s="15" t="inlineStr">
        <is>
          <t>Bolt tensioning / torque rework</t>
        </is>
      </c>
      <c r="D17" s="9" t="inlineStr">
        <is>
          <t>EPC Contractor</t>
        </is>
      </c>
      <c r="E17" s="9" t="inlineStr">
        <is>
          <t>Turbine Supply &amp; Erection</t>
        </is>
      </c>
      <c r="F17" s="9" t="inlineStr">
        <is>
          <t>Mechanical</t>
        </is>
      </c>
      <c r="G17" s="9" t="inlineStr">
        <is>
          <t>Yes</t>
        </is>
      </c>
      <c r="H17" s="9" t="inlineStr">
        <is>
          <t>PERT</t>
        </is>
      </c>
      <c r="I17" s="9" t="inlineStr">
        <is>
          <t>CG02</t>
        </is>
      </c>
      <c r="J17" s="9" t="n"/>
      <c r="K17" s="15" t="inlineStr">
        <is>
          <t>synthetic cause</t>
        </is>
      </c>
      <c r="L17" s="15" t="inlineStr">
        <is>
          <t>synthetic consequence</t>
        </is>
      </c>
      <c r="M17" s="15" t="inlineStr">
        <is>
          <t>synthetic controls</t>
        </is>
      </c>
      <c r="N17" s="9" t="inlineStr">
        <is>
          <t>Yes</t>
        </is>
      </c>
      <c r="O17" s="16" t="n">
        <v>0.35</v>
      </c>
      <c r="P17" s="52" t="n">
        <v>60000</v>
      </c>
      <c r="Q17" s="52" t="n">
        <v>180000</v>
      </c>
      <c r="R17" s="52" t="n">
        <v>450000</v>
      </c>
      <c r="S17" s="15" t="inlineStr">
        <is>
          <t>Wind Farm Beta capex basis</t>
        </is>
      </c>
      <c r="T17" s="9" t="inlineStr">
        <is>
          <t>No</t>
        </is>
      </c>
      <c r="U17" s="16" t="n">
        <v>0</v>
      </c>
      <c r="V17" s="53" t="n">
        <v>0</v>
      </c>
      <c r="W17" s="53" t="n">
        <v>0</v>
      </c>
      <c r="X17" s="53" t="n">
        <v>0</v>
      </c>
      <c r="Y17" s="15" t="inlineStr">
        <is>
          <t>Synthetic</t>
        </is>
      </c>
      <c r="Z17" s="9" t="n"/>
      <c r="AA17" s="9" t="inlineStr">
        <is>
          <t>per_occurrence</t>
        </is>
      </c>
      <c r="AB17" s="54">
        <f>IF(O17="","",O17*IF(OR(LOWER(H17)="pert",LOWER(H17)="binary/pert"),(P17+4*Q17+R17)/6,IF(LOWER(H17)="binary",Q17,IF(LOWER(H17)="lognormal",IF(Q17&lt;=0,0,IF(OR(R17&lt;=P17,R17&lt;=0,P17&lt;=0),ABS(Q17),Q17*EXP((MAX((LN(R17)-LN(P17))/(2*1.2816),0.01)^2)/2))),(P17+Q17+R17)/3))))</f>
        <v/>
      </c>
      <c r="AC17" s="55">
        <f>IF(OR(T17&lt;&gt;"Yes",U17=""),0,U17*(V17+4*W17+X17)/6*IFERROR(INDEX(Methodology!$B$2:$B$20,MATCH(Z17,Methodology!$A$2:$A$20,0)),0))</f>
        <v/>
      </c>
      <c r="AD17" s="54">
        <f>AC17*MC_day_rate</f>
        <v/>
      </c>
      <c r="AE17" s="9" t="n"/>
    </row>
    <row r="18">
      <c r="A18" s="9" t="inlineStr">
        <is>
          <t>WT-014</t>
        </is>
      </c>
      <c r="B18" s="9" t="inlineStr">
        <is>
          <t>Open</t>
        </is>
      </c>
      <c r="C18" s="15" t="inlineStr">
        <is>
          <t>Major component warranty defect</t>
        </is>
      </c>
      <c r="D18" s="9" t="inlineStr">
        <is>
          <t>Wind Farm Owner</t>
        </is>
      </c>
      <c r="E18" s="9" t="inlineStr">
        <is>
          <t>Turbine Supply &amp; Erection</t>
        </is>
      </c>
      <c r="F18" s="9" t="inlineStr">
        <is>
          <t>Warranty</t>
        </is>
      </c>
      <c r="G18" s="9" t="inlineStr">
        <is>
          <t>Yes</t>
        </is>
      </c>
      <c r="H18" s="9" t="inlineStr">
        <is>
          <t>PERT</t>
        </is>
      </c>
      <c r="I18" s="9" t="inlineStr">
        <is>
          <t>CG02</t>
        </is>
      </c>
      <c r="J18" s="9" t="n"/>
      <c r="K18" s="15" t="inlineStr">
        <is>
          <t>synthetic cause</t>
        </is>
      </c>
      <c r="L18" s="15" t="inlineStr">
        <is>
          <t>synthetic consequence</t>
        </is>
      </c>
      <c r="M18" s="15" t="inlineStr">
        <is>
          <t>synthetic controls</t>
        </is>
      </c>
      <c r="N18" s="9" t="inlineStr">
        <is>
          <t>Yes</t>
        </is>
      </c>
      <c r="O18" s="16" t="n">
        <v>0.2</v>
      </c>
      <c r="P18" s="52" t="n">
        <v>250000</v>
      </c>
      <c r="Q18" s="52" t="n">
        <v>700000</v>
      </c>
      <c r="R18" s="52" t="n">
        <v>2000000</v>
      </c>
      <c r="S18" s="15" t="inlineStr">
        <is>
          <t>Wind Farm Beta capex basis</t>
        </is>
      </c>
      <c r="T18" s="9" t="inlineStr">
        <is>
          <t>No</t>
        </is>
      </c>
      <c r="U18" s="16" t="n">
        <v>0</v>
      </c>
      <c r="V18" s="53" t="n">
        <v>0</v>
      </c>
      <c r="W18" s="53" t="n">
        <v>0</v>
      </c>
      <c r="X18" s="53" t="n">
        <v>0</v>
      </c>
      <c r="Y18" s="15" t="inlineStr">
        <is>
          <t>Synthetic</t>
        </is>
      </c>
      <c r="Z18" s="9" t="n"/>
      <c r="AA18" s="9" t="inlineStr">
        <is>
          <t>per_occurrence</t>
        </is>
      </c>
      <c r="AB18" s="54">
        <f>IF(O18="","",O18*IF(OR(LOWER(H18)="pert",LOWER(H18)="binary/pert"),(P18+4*Q18+R18)/6,IF(LOWER(H18)="binary",Q18,IF(LOWER(H18)="lognormal",IF(Q18&lt;=0,0,IF(OR(R18&lt;=P18,R18&lt;=0,P18&lt;=0),ABS(Q18),Q18*EXP((MAX((LN(R18)-LN(P18))/(2*1.2816),0.01)^2)/2))),(P18+Q18+R18)/3))))</f>
        <v/>
      </c>
      <c r="AC18" s="55">
        <f>IF(OR(T18&lt;&gt;"Yes",U18=""),0,U18*(V18+4*W18+X18)/6*IFERROR(INDEX(Methodology!$B$2:$B$20,MATCH(Z18,Methodology!$A$2:$A$20,0)),0))</f>
        <v/>
      </c>
      <c r="AD18" s="54">
        <f>AC18*MC_day_rate</f>
        <v/>
      </c>
      <c r="AE18" s="9" t="n"/>
    </row>
    <row r="19">
      <c r="A19" s="9" t="inlineStr">
        <is>
          <t>WT-015</t>
        </is>
      </c>
      <c r="B19" s="9" t="inlineStr">
        <is>
          <t>Open</t>
        </is>
      </c>
      <c r="C19" s="15" t="inlineStr">
        <is>
          <t>Gearbox / main-bearing replacement</t>
        </is>
      </c>
      <c r="D19" s="9" t="inlineStr">
        <is>
          <t>Wind Farm Owner</t>
        </is>
      </c>
      <c r="E19" s="9" t="inlineStr">
        <is>
          <t>Turbine Supply &amp; Erection</t>
        </is>
      </c>
      <c r="F19" s="9" t="inlineStr">
        <is>
          <t>Mechanical</t>
        </is>
      </c>
      <c r="G19" s="9" t="inlineStr">
        <is>
          <t>Yes</t>
        </is>
      </c>
      <c r="H19" s="9" t="inlineStr">
        <is>
          <t>Lognormal</t>
        </is>
      </c>
      <c r="I19" s="9" t="inlineStr">
        <is>
          <t>CG02</t>
        </is>
      </c>
      <c r="J19" s="9" t="n"/>
      <c r="K19" s="15" t="inlineStr">
        <is>
          <t>synthetic cause</t>
        </is>
      </c>
      <c r="L19" s="15" t="inlineStr">
        <is>
          <t>synthetic consequence</t>
        </is>
      </c>
      <c r="M19" s="15" t="inlineStr">
        <is>
          <t>synthetic controls</t>
        </is>
      </c>
      <c r="N19" s="9" t="inlineStr">
        <is>
          <t>Yes</t>
        </is>
      </c>
      <c r="O19" s="16" t="n">
        <v>0.15</v>
      </c>
      <c r="P19" s="52" t="n">
        <v>300000</v>
      </c>
      <c r="Q19" s="52" t="n">
        <v>800000</v>
      </c>
      <c r="R19" s="52" t="n">
        <v>2400000</v>
      </c>
      <c r="S19" s="15" t="inlineStr">
        <is>
          <t>Wind Farm Beta capex basis</t>
        </is>
      </c>
      <c r="T19" s="9" t="inlineStr">
        <is>
          <t>No</t>
        </is>
      </c>
      <c r="U19" s="16" t="n">
        <v>0</v>
      </c>
      <c r="V19" s="53" t="n">
        <v>0</v>
      </c>
      <c r="W19" s="53" t="n">
        <v>0</v>
      </c>
      <c r="X19" s="53" t="n">
        <v>0</v>
      </c>
      <c r="Y19" s="15" t="inlineStr">
        <is>
          <t>Synthetic</t>
        </is>
      </c>
      <c r="Z19" s="9" t="n"/>
      <c r="AA19" s="9" t="inlineStr">
        <is>
          <t>per_occurrence</t>
        </is>
      </c>
      <c r="AB19" s="54">
        <f>IF(O19="","",O19*IF(OR(LOWER(H19)="pert",LOWER(H19)="binary/pert"),(P19+4*Q19+R19)/6,IF(LOWER(H19)="binary",Q19,IF(LOWER(H19)="lognormal",IF(Q19&lt;=0,0,IF(OR(R19&lt;=P19,R19&lt;=0,P19&lt;=0),ABS(Q19),Q19*EXP((MAX((LN(R19)-LN(P19))/(2*1.2816),0.01)^2)/2))),(P19+Q19+R19)/3))))</f>
        <v/>
      </c>
      <c r="AC19" s="55">
        <f>IF(OR(T19&lt;&gt;"Yes",U19=""),0,U19*(V19+4*W19+X19)/6*IFERROR(INDEX(Methodology!$B$2:$B$20,MATCH(Z19,Methodology!$A$2:$A$20,0)),0))</f>
        <v/>
      </c>
      <c r="AD19" s="54">
        <f>AC19*MC_day_rate</f>
        <v/>
      </c>
      <c r="AE19" s="9" t="n"/>
    </row>
    <row r="20">
      <c r="A20" s="9" t="inlineStr">
        <is>
          <t>WT-016</t>
        </is>
      </c>
      <c r="B20" s="9" t="inlineStr">
        <is>
          <t>Open</t>
        </is>
      </c>
      <c r="C20" s="15" t="inlineStr">
        <is>
          <t>Array cable supply shortfall</t>
        </is>
      </c>
      <c r="D20" s="9" t="inlineStr">
        <is>
          <t>EPC Contractor</t>
        </is>
      </c>
      <c r="E20" s="9" t="inlineStr">
        <is>
          <t>Electrical Reticulation</t>
        </is>
      </c>
      <c r="F20" s="9" t="inlineStr">
        <is>
          <t>Procurement</t>
        </is>
      </c>
      <c r="G20" s="9" t="inlineStr">
        <is>
          <t>Yes</t>
        </is>
      </c>
      <c r="H20" s="9" t="inlineStr">
        <is>
          <t>PERT</t>
        </is>
      </c>
      <c r="I20" s="9" t="inlineStr">
        <is>
          <t>CG03</t>
        </is>
      </c>
      <c r="J20" s="9" t="n"/>
      <c r="K20" s="15" t="inlineStr">
        <is>
          <t>synthetic cause</t>
        </is>
      </c>
      <c r="L20" s="15" t="inlineStr">
        <is>
          <t>synthetic consequence</t>
        </is>
      </c>
      <c r="M20" s="15" t="inlineStr">
        <is>
          <t>synthetic controls</t>
        </is>
      </c>
      <c r="N20" s="9" t="inlineStr">
        <is>
          <t>Yes</t>
        </is>
      </c>
      <c r="O20" s="16" t="n">
        <v>0.45</v>
      </c>
      <c r="P20" s="52" t="n">
        <v>90000</v>
      </c>
      <c r="Q20" s="52" t="n">
        <v>250000</v>
      </c>
      <c r="R20" s="52" t="n">
        <v>600000</v>
      </c>
      <c r="S20" s="15" t="inlineStr">
        <is>
          <t>Wind Farm Beta capex basis</t>
        </is>
      </c>
      <c r="T20" s="9" t="inlineStr">
        <is>
          <t>No</t>
        </is>
      </c>
      <c r="U20" s="16" t="n">
        <v>0</v>
      </c>
      <c r="V20" s="53" t="n">
        <v>0</v>
      </c>
      <c r="W20" s="53" t="n">
        <v>0</v>
      </c>
      <c r="X20" s="53" t="n">
        <v>0</v>
      </c>
      <c r="Y20" s="15" t="inlineStr">
        <is>
          <t>Synthetic</t>
        </is>
      </c>
      <c r="Z20" s="9" t="n"/>
      <c r="AA20" s="9" t="inlineStr">
        <is>
          <t>per_occurrence</t>
        </is>
      </c>
      <c r="AB20" s="54">
        <f>IF(O20="","",O20*IF(OR(LOWER(H20)="pert",LOWER(H20)="binary/pert"),(P20+4*Q20+R20)/6,IF(LOWER(H20)="binary",Q20,IF(LOWER(H20)="lognormal",IF(Q20&lt;=0,0,IF(OR(R20&lt;=P20,R20&lt;=0,P20&lt;=0),ABS(Q20),Q20*EXP((MAX((LN(R20)-LN(P20))/(2*1.2816),0.01)^2)/2))),(P20+Q20+R20)/3))))</f>
        <v/>
      </c>
      <c r="AC20" s="55">
        <f>IF(OR(T20&lt;&gt;"Yes",U20=""),0,U20*(V20+4*W20+X20)/6*IFERROR(INDEX(Methodology!$B$2:$B$20,MATCH(Z20,Methodology!$A$2:$A$20,0)),0))</f>
        <v/>
      </c>
      <c r="AD20" s="54">
        <f>AC20*MC_day_rate</f>
        <v/>
      </c>
      <c r="AE20" s="9" t="n"/>
    </row>
    <row r="21">
      <c r="A21" s="9" t="inlineStr">
        <is>
          <t>WT-017</t>
        </is>
      </c>
      <c r="B21" s="9" t="inlineStr">
        <is>
          <t>Open</t>
        </is>
      </c>
      <c r="C21" s="15" t="inlineStr">
        <is>
          <t>Cable installation productivity</t>
        </is>
      </c>
      <c r="D21" s="9" t="inlineStr">
        <is>
          <t>EPC Contractor</t>
        </is>
      </c>
      <c r="E21" s="9" t="inlineStr">
        <is>
          <t>Electrical Reticulation</t>
        </is>
      </c>
      <c r="F21" s="9" t="inlineStr">
        <is>
          <t>Construction</t>
        </is>
      </c>
      <c r="G21" s="9" t="inlineStr">
        <is>
          <t>Yes</t>
        </is>
      </c>
      <c r="H21" s="9" t="inlineStr">
        <is>
          <t>PERT</t>
        </is>
      </c>
      <c r="I21" s="9" t="inlineStr">
        <is>
          <t>CG03</t>
        </is>
      </c>
      <c r="J21" s="9" t="n"/>
      <c r="K21" s="15" t="inlineStr">
        <is>
          <t>synthetic cause</t>
        </is>
      </c>
      <c r="L21" s="15" t="inlineStr">
        <is>
          <t>synthetic consequence</t>
        </is>
      </c>
      <c r="M21" s="15" t="inlineStr">
        <is>
          <t>synthetic controls</t>
        </is>
      </c>
      <c r="N21" s="9" t="inlineStr">
        <is>
          <t>Yes</t>
        </is>
      </c>
      <c r="O21" s="16" t="n">
        <v>0.4</v>
      </c>
      <c r="P21" s="52" t="n">
        <v>70000</v>
      </c>
      <c r="Q21" s="52" t="n">
        <v>220000</v>
      </c>
      <c r="R21" s="52" t="n">
        <v>520000</v>
      </c>
      <c r="S21" s="15" t="inlineStr">
        <is>
          <t>Wind Farm Beta capex basis</t>
        </is>
      </c>
      <c r="T21" s="9" t="inlineStr">
        <is>
          <t>No</t>
        </is>
      </c>
      <c r="U21" s="16" t="n">
        <v>0</v>
      </c>
      <c r="V21" s="53" t="n">
        <v>0</v>
      </c>
      <c r="W21" s="53" t="n">
        <v>0</v>
      </c>
      <c r="X21" s="53" t="n">
        <v>0</v>
      </c>
      <c r="Y21" s="15" t="inlineStr">
        <is>
          <t>Synthetic</t>
        </is>
      </c>
      <c r="Z21" s="9" t="n"/>
      <c r="AA21" s="9" t="inlineStr">
        <is>
          <t>per_occurrence</t>
        </is>
      </c>
      <c r="AB21" s="54">
        <f>IF(O21="","",O21*IF(OR(LOWER(H21)="pert",LOWER(H21)="binary/pert"),(P21+4*Q21+R21)/6,IF(LOWER(H21)="binary",Q21,IF(LOWER(H21)="lognormal",IF(Q21&lt;=0,0,IF(OR(R21&lt;=P21,R21&lt;=0,P21&lt;=0),ABS(Q21),Q21*EXP((MAX((LN(R21)-LN(P21))/(2*1.2816),0.01)^2)/2))),(P21+Q21+R21)/3))))</f>
        <v/>
      </c>
      <c r="AC21" s="55">
        <f>IF(OR(T21&lt;&gt;"Yes",U21=""),0,U21*(V21+4*W21+X21)/6*IFERROR(INDEX(Methodology!$B$2:$B$20,MATCH(Z21,Methodology!$A$2:$A$20,0)),0))</f>
        <v/>
      </c>
      <c r="AD21" s="54">
        <f>AC21*MC_day_rate</f>
        <v/>
      </c>
      <c r="AE21" s="9" t="n"/>
    </row>
    <row r="22">
      <c r="A22" s="9" t="inlineStr">
        <is>
          <t>WT-018</t>
        </is>
      </c>
      <c r="B22" s="9" t="inlineStr">
        <is>
          <t>Open</t>
        </is>
      </c>
      <c r="C22" s="15" t="inlineStr">
        <is>
          <t>Cable joint re-termination</t>
        </is>
      </c>
      <c r="D22" s="9" t="inlineStr">
        <is>
          <t>EPC Contractor</t>
        </is>
      </c>
      <c r="E22" s="9" t="inlineStr">
        <is>
          <t>Electrical Reticulation</t>
        </is>
      </c>
      <c r="F22" s="9" t="inlineStr">
        <is>
          <t>Electrical</t>
        </is>
      </c>
      <c r="G22" s="9" t="inlineStr">
        <is>
          <t>Yes</t>
        </is>
      </c>
      <c r="H22" s="9" t="inlineStr">
        <is>
          <t>Triangular</t>
        </is>
      </c>
      <c r="I22" s="9" t="inlineStr">
        <is>
          <t>CG03</t>
        </is>
      </c>
      <c r="J22" s="9" t="n"/>
      <c r="K22" s="15" t="inlineStr">
        <is>
          <t>synthetic cause</t>
        </is>
      </c>
      <c r="L22" s="15" t="inlineStr">
        <is>
          <t>synthetic consequence</t>
        </is>
      </c>
      <c r="M22" s="15" t="inlineStr">
        <is>
          <t>synthetic controls</t>
        </is>
      </c>
      <c r="N22" s="9" t="inlineStr">
        <is>
          <t>Yes</t>
        </is>
      </c>
      <c r="O22" s="16" t="n">
        <v>0.3</v>
      </c>
      <c r="P22" s="52" t="n">
        <v>50000</v>
      </c>
      <c r="Q22" s="52" t="n">
        <v>150000</v>
      </c>
      <c r="R22" s="52" t="n">
        <v>400000</v>
      </c>
      <c r="S22" s="15" t="inlineStr">
        <is>
          <t>Wind Farm Beta capex basis</t>
        </is>
      </c>
      <c r="T22" s="9" t="inlineStr">
        <is>
          <t>No</t>
        </is>
      </c>
      <c r="U22" s="16" t="n">
        <v>0</v>
      </c>
      <c r="V22" s="53" t="n">
        <v>0</v>
      </c>
      <c r="W22" s="53" t="n">
        <v>0</v>
      </c>
      <c r="X22" s="53" t="n">
        <v>0</v>
      </c>
      <c r="Y22" s="15" t="inlineStr">
        <is>
          <t>Synthetic</t>
        </is>
      </c>
      <c r="Z22" s="9" t="n"/>
      <c r="AA22" s="9" t="inlineStr">
        <is>
          <t>per_occurrence</t>
        </is>
      </c>
      <c r="AB22" s="54">
        <f>IF(O22="","",O22*IF(OR(LOWER(H22)="pert",LOWER(H22)="binary/pert"),(P22+4*Q22+R22)/6,IF(LOWER(H22)="binary",Q22,IF(LOWER(H22)="lognormal",IF(Q22&lt;=0,0,IF(OR(R22&lt;=P22,R22&lt;=0,P22&lt;=0),ABS(Q22),Q22*EXP((MAX((LN(R22)-LN(P22))/(2*1.2816),0.01)^2)/2))),(P22+Q22+R22)/3))))</f>
        <v/>
      </c>
      <c r="AC22" s="55">
        <f>IF(OR(T22&lt;&gt;"Yes",U22=""),0,U22*(V22+4*W22+X22)/6*IFERROR(INDEX(Methodology!$B$2:$B$20,MATCH(Z22,Methodology!$A$2:$A$20,0)),0))</f>
        <v/>
      </c>
      <c r="AD22" s="54">
        <f>AC22*MC_day_rate</f>
        <v/>
      </c>
      <c r="AE22" s="9" t="n"/>
    </row>
    <row r="23">
      <c r="A23" s="9" t="inlineStr">
        <is>
          <t>WT-019</t>
        </is>
      </c>
      <c r="B23" s="9" t="inlineStr">
        <is>
          <t>Open</t>
        </is>
      </c>
      <c r="C23" s="15" t="inlineStr">
        <is>
          <t>Trenching clash with civil works</t>
        </is>
      </c>
      <c r="D23" s="9" t="inlineStr">
        <is>
          <t>Shared</t>
        </is>
      </c>
      <c r="E23" s="9" t="inlineStr">
        <is>
          <t>Electrical Reticulation</t>
        </is>
      </c>
      <c r="F23" s="9" t="inlineStr">
        <is>
          <t>Interface</t>
        </is>
      </c>
      <c r="G23" s="9" t="inlineStr">
        <is>
          <t>Yes</t>
        </is>
      </c>
      <c r="H23" s="9" t="inlineStr">
        <is>
          <t>PERT</t>
        </is>
      </c>
      <c r="I23" s="9" t="inlineStr">
        <is>
          <t>CG03</t>
        </is>
      </c>
      <c r="J23" s="9" t="n"/>
      <c r="K23" s="15" t="inlineStr">
        <is>
          <t>synthetic cause</t>
        </is>
      </c>
      <c r="L23" s="15" t="inlineStr">
        <is>
          <t>synthetic consequence</t>
        </is>
      </c>
      <c r="M23" s="15" t="inlineStr">
        <is>
          <t>synthetic controls</t>
        </is>
      </c>
      <c r="N23" s="9" t="inlineStr">
        <is>
          <t>Yes</t>
        </is>
      </c>
      <c r="O23" s="16" t="n">
        <v>0.25</v>
      </c>
      <c r="P23" s="52" t="n">
        <v>40000</v>
      </c>
      <c r="Q23" s="52" t="n">
        <v>120000</v>
      </c>
      <c r="R23" s="52" t="n">
        <v>300000</v>
      </c>
      <c r="S23" s="15" t="inlineStr">
        <is>
          <t>Wind Farm Beta capex basis</t>
        </is>
      </c>
      <c r="T23" s="9" t="inlineStr">
        <is>
          <t>No</t>
        </is>
      </c>
      <c r="U23" s="16" t="n">
        <v>0</v>
      </c>
      <c r="V23" s="53" t="n">
        <v>0</v>
      </c>
      <c r="W23" s="53" t="n">
        <v>0</v>
      </c>
      <c r="X23" s="53" t="n">
        <v>0</v>
      </c>
      <c r="Y23" s="15" t="inlineStr">
        <is>
          <t>Synthetic</t>
        </is>
      </c>
      <c r="Z23" s="9" t="n"/>
      <c r="AA23" s="9" t="inlineStr">
        <is>
          <t>per_occurrence</t>
        </is>
      </c>
      <c r="AB23" s="54">
        <f>IF(O23="","",O23*IF(OR(LOWER(H23)="pert",LOWER(H23)="binary/pert"),(P23+4*Q23+R23)/6,IF(LOWER(H23)="binary",Q23,IF(LOWER(H23)="lognormal",IF(Q23&lt;=0,0,IF(OR(R23&lt;=P23,R23&lt;=0,P23&lt;=0),ABS(Q23),Q23*EXP((MAX((LN(R23)-LN(P23))/(2*1.2816),0.01)^2)/2))),(P23+Q23+R23)/3))))</f>
        <v/>
      </c>
      <c r="AC23" s="55">
        <f>IF(OR(T23&lt;&gt;"Yes",U23=""),0,U23*(V23+4*W23+X23)/6*IFERROR(INDEX(Methodology!$B$2:$B$20,MATCH(Z23,Methodology!$A$2:$A$20,0)),0))</f>
        <v/>
      </c>
      <c r="AD23" s="54">
        <f>AC23*MC_day_rate</f>
        <v/>
      </c>
      <c r="AE23" s="9" t="n"/>
    </row>
    <row r="24">
      <c r="A24" s="9" t="inlineStr">
        <is>
          <t>WT-020</t>
        </is>
      </c>
      <c r="B24" s="9" t="inlineStr">
        <is>
          <t>Open</t>
        </is>
      </c>
      <c r="C24" s="15" t="inlineStr">
        <is>
          <t>HV array cable test failures</t>
        </is>
      </c>
      <c r="D24" s="9" t="inlineStr">
        <is>
          <t>EPC Contractor</t>
        </is>
      </c>
      <c r="E24" s="9" t="inlineStr">
        <is>
          <t>Electrical Reticulation</t>
        </is>
      </c>
      <c r="F24" s="9" t="inlineStr">
        <is>
          <t>Testing</t>
        </is>
      </c>
      <c r="G24" s="9" t="inlineStr">
        <is>
          <t>Yes</t>
        </is>
      </c>
      <c r="H24" s="9" t="inlineStr">
        <is>
          <t>Triangular</t>
        </is>
      </c>
      <c r="I24" s="9" t="inlineStr">
        <is>
          <t>CG03</t>
        </is>
      </c>
      <c r="J24" s="9" t="n"/>
      <c r="K24" s="15" t="inlineStr">
        <is>
          <t>synthetic cause</t>
        </is>
      </c>
      <c r="L24" s="15" t="inlineStr">
        <is>
          <t>synthetic consequence</t>
        </is>
      </c>
      <c r="M24" s="15" t="inlineStr">
        <is>
          <t>synthetic controls</t>
        </is>
      </c>
      <c r="N24" s="9" t="inlineStr">
        <is>
          <t>Yes</t>
        </is>
      </c>
      <c r="O24" s="16" t="n">
        <v>0.35</v>
      </c>
      <c r="P24" s="52" t="n">
        <v>60000</v>
      </c>
      <c r="Q24" s="52" t="n">
        <v>170000</v>
      </c>
      <c r="R24" s="52" t="n">
        <v>420000</v>
      </c>
      <c r="S24" s="15" t="inlineStr">
        <is>
          <t>Wind Farm Beta capex basis</t>
        </is>
      </c>
      <c r="T24" s="9" t="inlineStr">
        <is>
          <t>Yes</t>
        </is>
      </c>
      <c r="U24" s="16" t="n">
        <v>0.35</v>
      </c>
      <c r="V24" s="53" t="n">
        <v>1</v>
      </c>
      <c r="W24" s="53" t="n">
        <v>4</v>
      </c>
      <c r="X24" s="53" t="n">
        <v>10</v>
      </c>
      <c r="Y24" s="15" t="inlineStr">
        <is>
          <t>Synthetic</t>
        </is>
      </c>
      <c r="Z24" s="9" t="inlineStr">
        <is>
          <t>Parallel</t>
        </is>
      </c>
      <c r="AA24" s="9" t="inlineStr">
        <is>
          <t>per_occurrence</t>
        </is>
      </c>
      <c r="AB24" s="54">
        <f>IF(O24="","",O24*IF(OR(LOWER(H24)="pert",LOWER(H24)="binary/pert"),(P24+4*Q24+R24)/6,IF(LOWER(H24)="binary",Q24,IF(LOWER(H24)="lognormal",IF(Q24&lt;=0,0,IF(OR(R24&lt;=P24,R24&lt;=0,P24&lt;=0),ABS(Q24),Q24*EXP((MAX((LN(R24)-LN(P24))/(2*1.2816),0.01)^2)/2))),(P24+Q24+R24)/3))))</f>
        <v/>
      </c>
      <c r="AC24" s="55">
        <f>IF(OR(T24&lt;&gt;"Yes",U24=""),0,U24*(V24+4*W24+X24)/6*IFERROR(INDEX(Methodology!$B$2:$B$20,MATCH(Z24,Methodology!$A$2:$A$20,0)),0))</f>
        <v/>
      </c>
      <c r="AD24" s="54">
        <f>AC24*MC_day_rate</f>
        <v/>
      </c>
      <c r="AE24" s="9" t="n"/>
    </row>
    <row r="25">
      <c r="A25" s="9" t="inlineStr">
        <is>
          <t>WT-021</t>
        </is>
      </c>
      <c r="B25" s="9" t="inlineStr">
        <is>
          <t>Open</t>
        </is>
      </c>
      <c r="C25" s="15" t="inlineStr">
        <is>
          <t>Grid connection redesign</t>
        </is>
      </c>
      <c r="D25" s="9" t="inlineStr">
        <is>
          <t>Wind Farm Owner</t>
        </is>
      </c>
      <c r="E25" s="9" t="inlineStr">
        <is>
          <t>Grid Connection</t>
        </is>
      </c>
      <c r="F25" s="9" t="inlineStr">
        <is>
          <t>Design</t>
        </is>
      </c>
      <c r="G25" s="9" t="inlineStr">
        <is>
          <t>Yes</t>
        </is>
      </c>
      <c r="H25" s="9" t="inlineStr">
        <is>
          <t>Lognormal</t>
        </is>
      </c>
      <c r="I25" s="9" t="inlineStr">
        <is>
          <t>CG04</t>
        </is>
      </c>
      <c r="J25" s="9" t="n"/>
      <c r="K25" s="15" t="inlineStr">
        <is>
          <t>synthetic cause</t>
        </is>
      </c>
      <c r="L25" s="15" t="inlineStr">
        <is>
          <t>synthetic consequence</t>
        </is>
      </c>
      <c r="M25" s="15" t="inlineStr">
        <is>
          <t>synthetic controls</t>
        </is>
      </c>
      <c r="N25" s="9" t="inlineStr">
        <is>
          <t>Yes</t>
        </is>
      </c>
      <c r="O25" s="16" t="n">
        <v>0.3</v>
      </c>
      <c r="P25" s="52" t="n">
        <v>200000</v>
      </c>
      <c r="Q25" s="52" t="n">
        <v>500000</v>
      </c>
      <c r="R25" s="52" t="n">
        <v>1200000</v>
      </c>
      <c r="S25" s="15" t="inlineStr">
        <is>
          <t>Wind Farm Beta capex basis</t>
        </is>
      </c>
      <c r="T25" s="9" t="inlineStr">
        <is>
          <t>Yes</t>
        </is>
      </c>
      <c r="U25" s="16" t="n">
        <v>0.3</v>
      </c>
      <c r="V25" s="53" t="n">
        <v>6</v>
      </c>
      <c r="W25" s="53" t="n">
        <v>15</v>
      </c>
      <c r="X25" s="53" t="n">
        <v>35</v>
      </c>
      <c r="Y25" s="15" t="inlineStr">
        <is>
          <t>Synthetic</t>
        </is>
      </c>
      <c r="Z25" s="9" t="inlineStr">
        <is>
          <t>Series</t>
        </is>
      </c>
      <c r="AA25" s="9" t="inlineStr">
        <is>
          <t>per_occurrence</t>
        </is>
      </c>
      <c r="AB25" s="54">
        <f>IF(O25="","",O25*IF(OR(LOWER(H25)="pert",LOWER(H25)="binary/pert"),(P25+4*Q25+R25)/6,IF(LOWER(H25)="binary",Q25,IF(LOWER(H25)="lognormal",IF(Q25&lt;=0,0,IF(OR(R25&lt;=P25,R25&lt;=0,P25&lt;=0),ABS(Q25),Q25*EXP((MAX((LN(R25)-LN(P25))/(2*1.2816),0.01)^2)/2))),(P25+Q25+R25)/3))))</f>
        <v/>
      </c>
      <c r="AC25" s="55">
        <f>IF(OR(T25&lt;&gt;"Yes",U25=""),0,U25*(V25+4*W25+X25)/6*IFERROR(INDEX(Methodology!$B$2:$B$20,MATCH(Z25,Methodology!$A$2:$A$20,0)),0))</f>
        <v/>
      </c>
      <c r="AD25" s="54">
        <f>AC25*MC_day_rate</f>
        <v/>
      </c>
      <c r="AE25" s="9" t="n"/>
    </row>
    <row r="26">
      <c r="A26" s="9" t="inlineStr">
        <is>
          <t>WT-022</t>
        </is>
      </c>
      <c r="B26" s="9" t="inlineStr">
        <is>
          <t>Open</t>
        </is>
      </c>
      <c r="C26" s="15" t="inlineStr">
        <is>
          <t>Network operator approval delay</t>
        </is>
      </c>
      <c r="D26" s="9" t="inlineStr">
        <is>
          <t>Wind Farm Owner</t>
        </is>
      </c>
      <c r="E26" s="9" t="inlineStr">
        <is>
          <t>Grid Connection</t>
        </is>
      </c>
      <c r="F26" s="9" t="inlineStr">
        <is>
          <t>Approvals</t>
        </is>
      </c>
      <c r="G26" s="9" t="inlineStr">
        <is>
          <t>Yes</t>
        </is>
      </c>
      <c r="H26" s="9" t="inlineStr">
        <is>
          <t>PERT</t>
        </is>
      </c>
      <c r="I26" s="9" t="inlineStr">
        <is>
          <t>CG04</t>
        </is>
      </c>
      <c r="J26" s="9" t="n"/>
      <c r="K26" s="15" t="inlineStr">
        <is>
          <t>synthetic cause</t>
        </is>
      </c>
      <c r="L26" s="15" t="inlineStr">
        <is>
          <t>synthetic consequence</t>
        </is>
      </c>
      <c r="M26" s="15" t="inlineStr">
        <is>
          <t>synthetic controls</t>
        </is>
      </c>
      <c r="N26" s="9" t="inlineStr">
        <is>
          <t>Yes</t>
        </is>
      </c>
      <c r="O26" s="16" t="n">
        <v>0.4</v>
      </c>
      <c r="P26" s="52" t="n">
        <v>100000</v>
      </c>
      <c r="Q26" s="52" t="n">
        <v>280000</v>
      </c>
      <c r="R26" s="52" t="n">
        <v>700000</v>
      </c>
      <c r="S26" s="15" t="inlineStr">
        <is>
          <t>Wind Farm Beta capex basis</t>
        </is>
      </c>
      <c r="T26" s="9" t="inlineStr">
        <is>
          <t>No</t>
        </is>
      </c>
      <c r="U26" s="16" t="n">
        <v>0</v>
      </c>
      <c r="V26" s="53" t="n">
        <v>0</v>
      </c>
      <c r="W26" s="53" t="n">
        <v>0</v>
      </c>
      <c r="X26" s="53" t="n">
        <v>0</v>
      </c>
      <c r="Y26" s="15" t="inlineStr">
        <is>
          <t>Synthetic</t>
        </is>
      </c>
      <c r="Z26" s="9" t="n"/>
      <c r="AA26" s="9" t="inlineStr">
        <is>
          <t>per_occurrence</t>
        </is>
      </c>
      <c r="AB26" s="54">
        <f>IF(O26="","",O26*IF(OR(LOWER(H26)="pert",LOWER(H26)="binary/pert"),(P26+4*Q26+R26)/6,IF(LOWER(H26)="binary",Q26,IF(LOWER(H26)="lognormal",IF(Q26&lt;=0,0,IF(OR(R26&lt;=P26,R26&lt;=0,P26&lt;=0),ABS(Q26),Q26*EXP((MAX((LN(R26)-LN(P26))/(2*1.2816),0.01)^2)/2))),(P26+Q26+R26)/3))))</f>
        <v/>
      </c>
      <c r="AC26" s="55">
        <f>IF(OR(T26&lt;&gt;"Yes",U26=""),0,U26*(V26+4*W26+X26)/6*IFERROR(INDEX(Methodology!$B$2:$B$20,MATCH(Z26,Methodology!$A$2:$A$20,0)),0))</f>
        <v/>
      </c>
      <c r="AD26" s="54">
        <f>AC26*MC_day_rate</f>
        <v/>
      </c>
      <c r="AE26" s="9" t="n"/>
    </row>
    <row r="27">
      <c r="A27" s="9" t="inlineStr">
        <is>
          <t>WT-023</t>
        </is>
      </c>
      <c r="B27" s="9" t="inlineStr">
        <is>
          <t>Open</t>
        </is>
      </c>
      <c r="C27" s="15" t="inlineStr">
        <is>
          <t>Protection settings rework</t>
        </is>
      </c>
      <c r="D27" s="9" t="inlineStr">
        <is>
          <t>Shared</t>
        </is>
      </c>
      <c r="E27" s="9" t="inlineStr">
        <is>
          <t>Grid Connection</t>
        </is>
      </c>
      <c r="F27" s="9" t="inlineStr">
        <is>
          <t>Electrical</t>
        </is>
      </c>
      <c r="G27" s="9" t="inlineStr">
        <is>
          <t>Yes</t>
        </is>
      </c>
      <c r="H27" s="9" t="inlineStr">
        <is>
          <t>Triangular</t>
        </is>
      </c>
      <c r="I27" s="9" t="inlineStr">
        <is>
          <t>CG04</t>
        </is>
      </c>
      <c r="J27" s="9" t="n"/>
      <c r="K27" s="15" t="inlineStr">
        <is>
          <t>synthetic cause</t>
        </is>
      </c>
      <c r="L27" s="15" t="inlineStr">
        <is>
          <t>synthetic consequence</t>
        </is>
      </c>
      <c r="M27" s="15" t="inlineStr">
        <is>
          <t>synthetic controls</t>
        </is>
      </c>
      <c r="N27" s="9" t="inlineStr">
        <is>
          <t>Yes</t>
        </is>
      </c>
      <c r="O27" s="16" t="n">
        <v>0.3</v>
      </c>
      <c r="P27" s="52" t="n">
        <v>60000</v>
      </c>
      <c r="Q27" s="52" t="n">
        <v>160000</v>
      </c>
      <c r="R27" s="52" t="n">
        <v>380000</v>
      </c>
      <c r="S27" s="15" t="inlineStr">
        <is>
          <t>Wind Farm Beta capex basis</t>
        </is>
      </c>
      <c r="T27" s="9" t="inlineStr">
        <is>
          <t>No</t>
        </is>
      </c>
      <c r="U27" s="16" t="n">
        <v>0</v>
      </c>
      <c r="V27" s="53" t="n">
        <v>0</v>
      </c>
      <c r="W27" s="53" t="n">
        <v>0</v>
      </c>
      <c r="X27" s="53" t="n">
        <v>0</v>
      </c>
      <c r="Y27" s="15" t="inlineStr">
        <is>
          <t>Synthetic</t>
        </is>
      </c>
      <c r="Z27" s="9" t="n"/>
      <c r="AA27" s="9" t="inlineStr">
        <is>
          <t>per_occurrence</t>
        </is>
      </c>
      <c r="AB27" s="54">
        <f>IF(O27="","",O27*IF(OR(LOWER(H27)="pert",LOWER(H27)="binary/pert"),(P27+4*Q27+R27)/6,IF(LOWER(H27)="binary",Q27,IF(LOWER(H27)="lognormal",IF(Q27&lt;=0,0,IF(OR(R27&lt;=P27,R27&lt;=0,P27&lt;=0),ABS(Q27),Q27*EXP((MAX((LN(R27)-LN(P27))/(2*1.2816),0.01)^2)/2))),(P27+Q27+R27)/3))))</f>
        <v/>
      </c>
      <c r="AC27" s="55">
        <f>IF(OR(T27&lt;&gt;"Yes",U27=""),0,U27*(V27+4*W27+X27)/6*IFERROR(INDEX(Methodology!$B$2:$B$20,MATCH(Z27,Methodology!$A$2:$A$20,0)),0))</f>
        <v/>
      </c>
      <c r="AD27" s="54">
        <f>AC27*MC_day_rate</f>
        <v/>
      </c>
      <c r="AE27" s="9" t="n"/>
    </row>
    <row r="28">
      <c r="A28" s="9" t="inlineStr">
        <is>
          <t>WT-024</t>
        </is>
      </c>
      <c r="B28" s="9" t="inlineStr">
        <is>
          <t>Open</t>
        </is>
      </c>
      <c r="C28" s="15" t="inlineStr">
        <is>
          <t>Grid compliance test failure</t>
        </is>
      </c>
      <c r="D28" s="9" t="inlineStr">
        <is>
          <t>Wind Farm Owner</t>
        </is>
      </c>
      <c r="E28" s="9" t="inlineStr">
        <is>
          <t>Grid Connection</t>
        </is>
      </c>
      <c r="F28" s="9" t="inlineStr">
        <is>
          <t>Testing</t>
        </is>
      </c>
      <c r="G28" s="9" t="inlineStr">
        <is>
          <t>Yes</t>
        </is>
      </c>
      <c r="H28" s="9" t="inlineStr">
        <is>
          <t>PERT</t>
        </is>
      </c>
      <c r="I28" s="9" t="inlineStr">
        <is>
          <t>CG04</t>
        </is>
      </c>
      <c r="J28" s="9" t="n"/>
      <c r="K28" s="15" t="inlineStr">
        <is>
          <t>synthetic cause</t>
        </is>
      </c>
      <c r="L28" s="15" t="inlineStr">
        <is>
          <t>synthetic consequence</t>
        </is>
      </c>
      <c r="M28" s="15" t="inlineStr">
        <is>
          <t>synthetic controls</t>
        </is>
      </c>
      <c r="N28" s="9" t="inlineStr">
        <is>
          <t>Yes</t>
        </is>
      </c>
      <c r="O28" s="16" t="n">
        <v>0.25</v>
      </c>
      <c r="P28" s="52" t="n">
        <v>120000</v>
      </c>
      <c r="Q28" s="52" t="n">
        <v>320000</v>
      </c>
      <c r="R28" s="52" t="n">
        <v>800000</v>
      </c>
      <c r="S28" s="15" t="inlineStr">
        <is>
          <t>Wind Farm Beta capex basis</t>
        </is>
      </c>
      <c r="T28" s="9" t="inlineStr">
        <is>
          <t>No</t>
        </is>
      </c>
      <c r="U28" s="16" t="n">
        <v>0</v>
      </c>
      <c r="V28" s="53" t="n">
        <v>0</v>
      </c>
      <c r="W28" s="53" t="n">
        <v>0</v>
      </c>
      <c r="X28" s="53" t="n">
        <v>0</v>
      </c>
      <c r="Y28" s="15" t="inlineStr">
        <is>
          <t>Synthetic</t>
        </is>
      </c>
      <c r="Z28" s="9" t="n"/>
      <c r="AA28" s="9" t="inlineStr">
        <is>
          <t>per_occurrence</t>
        </is>
      </c>
      <c r="AB28" s="54">
        <f>IF(O28="","",O28*IF(OR(LOWER(H28)="pert",LOWER(H28)="binary/pert"),(P28+4*Q28+R28)/6,IF(LOWER(H28)="binary",Q28,IF(LOWER(H28)="lognormal",IF(Q28&lt;=0,0,IF(OR(R28&lt;=P28,R28&lt;=0,P28&lt;=0),ABS(Q28),Q28*EXP((MAX((LN(R28)-LN(P28))/(2*1.2816),0.01)^2)/2))),(P28+Q28+R28)/3))))</f>
        <v/>
      </c>
      <c r="AC28" s="55">
        <f>IF(OR(T28&lt;&gt;"Yes",U28=""),0,U28*(V28+4*W28+X28)/6*IFERROR(INDEX(Methodology!$B$2:$B$20,MATCH(Z28,Methodology!$A$2:$A$20,0)),0))</f>
        <v/>
      </c>
      <c r="AD28" s="54">
        <f>AC28*MC_day_rate</f>
        <v/>
      </c>
      <c r="AE28" s="9" t="n"/>
    </row>
    <row r="29">
      <c r="A29" s="9" t="inlineStr">
        <is>
          <t>WT-025</t>
        </is>
      </c>
      <c r="B29" s="9" t="inlineStr">
        <is>
          <t>Open</t>
        </is>
      </c>
      <c r="C29" s="15" t="inlineStr">
        <is>
          <t>Connection-point scope change</t>
        </is>
      </c>
      <c r="D29" s="9" t="inlineStr">
        <is>
          <t>Wind Farm Owner</t>
        </is>
      </c>
      <c r="E29" s="9" t="inlineStr">
        <is>
          <t>Grid Connection</t>
        </is>
      </c>
      <c r="F29" s="9" t="inlineStr">
        <is>
          <t>Scope</t>
        </is>
      </c>
      <c r="G29" s="9" t="inlineStr">
        <is>
          <t>Yes</t>
        </is>
      </c>
      <c r="H29" s="9" t="inlineStr">
        <is>
          <t>Triangular</t>
        </is>
      </c>
      <c r="I29" s="9" t="inlineStr">
        <is>
          <t>CG04</t>
        </is>
      </c>
      <c r="J29" s="9" t="n"/>
      <c r="K29" s="15" t="inlineStr">
        <is>
          <t>synthetic cause</t>
        </is>
      </c>
      <c r="L29" s="15" t="inlineStr">
        <is>
          <t>synthetic consequence</t>
        </is>
      </c>
      <c r="M29" s="15" t="inlineStr">
        <is>
          <t>synthetic controls</t>
        </is>
      </c>
      <c r="N29" s="9" t="inlineStr">
        <is>
          <t>Yes</t>
        </is>
      </c>
      <c r="O29" s="16" t="n">
        <v>0.2</v>
      </c>
      <c r="P29" s="52" t="n">
        <v>80000</v>
      </c>
      <c r="Q29" s="52" t="n">
        <v>200000</v>
      </c>
      <c r="R29" s="52" t="n">
        <v>500000</v>
      </c>
      <c r="S29" s="15" t="inlineStr">
        <is>
          <t>Wind Farm Beta capex basis</t>
        </is>
      </c>
      <c r="T29" s="9" t="inlineStr">
        <is>
          <t>No</t>
        </is>
      </c>
      <c r="U29" s="16" t="n">
        <v>0</v>
      </c>
      <c r="V29" s="53" t="n">
        <v>0</v>
      </c>
      <c r="W29" s="53" t="n">
        <v>0</v>
      </c>
      <c r="X29" s="53" t="n">
        <v>0</v>
      </c>
      <c r="Y29" s="15" t="inlineStr">
        <is>
          <t>Synthetic</t>
        </is>
      </c>
      <c r="Z29" s="9" t="n"/>
      <c r="AA29" s="9" t="inlineStr">
        <is>
          <t>per_occurrence</t>
        </is>
      </c>
      <c r="AB29" s="54">
        <f>IF(O29="","",O29*IF(OR(LOWER(H29)="pert",LOWER(H29)="binary/pert"),(P29+4*Q29+R29)/6,IF(LOWER(H29)="binary",Q29,IF(LOWER(H29)="lognormal",IF(Q29&lt;=0,0,IF(OR(R29&lt;=P29,R29&lt;=0,P29&lt;=0),ABS(Q29),Q29*EXP((MAX((LN(R29)-LN(P29))/(2*1.2816),0.01)^2)/2))),(P29+Q29+R29)/3))))</f>
        <v/>
      </c>
      <c r="AC29" s="55">
        <f>IF(OR(T29&lt;&gt;"Yes",U29=""),0,U29*(V29+4*W29+X29)/6*IFERROR(INDEX(Methodology!$B$2:$B$20,MATCH(Z29,Methodology!$A$2:$A$20,0)),0))</f>
        <v/>
      </c>
      <c r="AD29" s="54">
        <f>AC29*MC_day_rate</f>
        <v/>
      </c>
      <c r="AE29" s="9" t="n"/>
    </row>
    <row r="30">
      <c r="A30" s="9" t="inlineStr">
        <is>
          <t>WT-026</t>
        </is>
      </c>
      <c r="B30" s="9" t="inlineStr">
        <is>
          <t>Open</t>
        </is>
      </c>
      <c r="C30" s="15" t="inlineStr">
        <is>
          <t>Substation civils delay</t>
        </is>
      </c>
      <c r="D30" s="9" t="inlineStr">
        <is>
          <t>EPC Contractor</t>
        </is>
      </c>
      <c r="E30" s="9" t="inlineStr">
        <is>
          <t>Balance of Plant</t>
        </is>
      </c>
      <c r="F30" s="9" t="inlineStr">
        <is>
          <t>Civil</t>
        </is>
      </c>
      <c r="G30" s="9" t="inlineStr">
        <is>
          <t>Yes</t>
        </is>
      </c>
      <c r="H30" s="9" t="inlineStr">
        <is>
          <t>PERT</t>
        </is>
      </c>
      <c r="I30" s="9" t="inlineStr">
        <is>
          <t>CG05</t>
        </is>
      </c>
      <c r="J30" s="9" t="n"/>
      <c r="K30" s="15" t="inlineStr">
        <is>
          <t>synthetic cause</t>
        </is>
      </c>
      <c r="L30" s="15" t="inlineStr">
        <is>
          <t>synthetic consequence</t>
        </is>
      </c>
      <c r="M30" s="15" t="inlineStr">
        <is>
          <t>synthetic controls</t>
        </is>
      </c>
      <c r="N30" s="9" t="inlineStr">
        <is>
          <t>Yes</t>
        </is>
      </c>
      <c r="O30" s="16" t="n">
        <v>0.35</v>
      </c>
      <c r="P30" s="52" t="n">
        <v>80000</v>
      </c>
      <c r="Q30" s="52" t="n">
        <v>220000</v>
      </c>
      <c r="R30" s="52" t="n">
        <v>550000</v>
      </c>
      <c r="S30" s="15" t="inlineStr">
        <is>
          <t>Wind Farm Beta capex basis</t>
        </is>
      </c>
      <c r="T30" s="9" t="inlineStr">
        <is>
          <t>Yes</t>
        </is>
      </c>
      <c r="U30" s="16" t="n">
        <v>0.35</v>
      </c>
      <c r="V30" s="53" t="n">
        <v>2</v>
      </c>
      <c r="W30" s="53" t="n">
        <v>6</v>
      </c>
      <c r="X30" s="53" t="n">
        <v>14</v>
      </c>
      <c r="Y30" s="15" t="inlineStr">
        <is>
          <t>Synthetic</t>
        </is>
      </c>
      <c r="Z30" s="9" t="inlineStr">
        <is>
          <t>Hybrid</t>
        </is>
      </c>
      <c r="AA30" s="9" t="inlineStr">
        <is>
          <t>per_occurrence</t>
        </is>
      </c>
      <c r="AB30" s="54">
        <f>IF(O30="","",O30*IF(OR(LOWER(H30)="pert",LOWER(H30)="binary/pert"),(P30+4*Q30+R30)/6,IF(LOWER(H30)="binary",Q30,IF(LOWER(H30)="lognormal",IF(Q30&lt;=0,0,IF(OR(R30&lt;=P30,R30&lt;=0,P30&lt;=0),ABS(Q30),Q30*EXP((MAX((LN(R30)-LN(P30))/(2*1.2816),0.01)^2)/2))),(P30+Q30+R30)/3))))</f>
        <v/>
      </c>
      <c r="AC30" s="55">
        <f>IF(OR(T30&lt;&gt;"Yes",U30=""),0,U30*(V30+4*W30+X30)/6*IFERROR(INDEX(Methodology!$B$2:$B$20,MATCH(Z30,Methodology!$A$2:$A$20,0)),0))</f>
        <v/>
      </c>
      <c r="AD30" s="54">
        <f>AC30*MC_day_rate</f>
        <v/>
      </c>
      <c r="AE30" s="9" t="n"/>
    </row>
    <row r="31">
      <c r="A31" s="9" t="inlineStr">
        <is>
          <t>WT-027</t>
        </is>
      </c>
      <c r="B31" s="9" t="inlineStr">
        <is>
          <t>Open</t>
        </is>
      </c>
      <c r="C31" s="15" t="inlineStr">
        <is>
          <t>Substation E&amp;I commissioning slip</t>
        </is>
      </c>
      <c r="D31" s="9" t="inlineStr">
        <is>
          <t>Shared</t>
        </is>
      </c>
      <c r="E31" s="9" t="inlineStr">
        <is>
          <t>Balance of Plant</t>
        </is>
      </c>
      <c r="F31" s="9" t="inlineStr">
        <is>
          <t>Commissioning</t>
        </is>
      </c>
      <c r="G31" s="9" t="inlineStr">
        <is>
          <t>Yes</t>
        </is>
      </c>
      <c r="H31" s="9" t="inlineStr">
        <is>
          <t>Triangular</t>
        </is>
      </c>
      <c r="I31" s="9" t="inlineStr">
        <is>
          <t>CG05</t>
        </is>
      </c>
      <c r="J31" s="9" t="n"/>
      <c r="K31" s="15" t="inlineStr">
        <is>
          <t>synthetic cause</t>
        </is>
      </c>
      <c r="L31" s="15" t="inlineStr">
        <is>
          <t>synthetic consequence</t>
        </is>
      </c>
      <c r="M31" s="15" t="inlineStr">
        <is>
          <t>synthetic controls</t>
        </is>
      </c>
      <c r="N31" s="9" t="inlineStr">
        <is>
          <t>Yes</t>
        </is>
      </c>
      <c r="O31" s="16" t="n">
        <v>0.35</v>
      </c>
      <c r="P31" s="52" t="n">
        <v>60000</v>
      </c>
      <c r="Q31" s="52" t="n">
        <v>180000</v>
      </c>
      <c r="R31" s="52" t="n">
        <v>450000</v>
      </c>
      <c r="S31" s="15" t="inlineStr">
        <is>
          <t>Wind Farm Beta capex basis</t>
        </is>
      </c>
      <c r="T31" s="9" t="inlineStr">
        <is>
          <t>Yes</t>
        </is>
      </c>
      <c r="U31" s="16" t="n">
        <v>0.35</v>
      </c>
      <c r="V31" s="53" t="n">
        <v>1</v>
      </c>
      <c r="W31" s="53" t="n">
        <v>4</v>
      </c>
      <c r="X31" s="53" t="n">
        <v>10</v>
      </c>
      <c r="Y31" s="15" t="inlineStr">
        <is>
          <t>Synthetic</t>
        </is>
      </c>
      <c r="Z31" s="9" t="inlineStr">
        <is>
          <t>Parallel</t>
        </is>
      </c>
      <c r="AA31" s="9" t="inlineStr">
        <is>
          <t>per_occurrence</t>
        </is>
      </c>
      <c r="AB31" s="54">
        <f>IF(O31="","",O31*IF(OR(LOWER(H31)="pert",LOWER(H31)="binary/pert"),(P31+4*Q31+R31)/6,IF(LOWER(H31)="binary",Q31,IF(LOWER(H31)="lognormal",IF(Q31&lt;=0,0,IF(OR(R31&lt;=P31,R31&lt;=0,P31&lt;=0),ABS(Q31),Q31*EXP((MAX((LN(R31)-LN(P31))/(2*1.2816),0.01)^2)/2))),(P31+Q31+R31)/3))))</f>
        <v/>
      </c>
      <c r="AC31" s="55">
        <f>IF(OR(T31&lt;&gt;"Yes",U31=""),0,U31*(V31+4*W31+X31)/6*IFERROR(INDEX(Methodology!$B$2:$B$20,MATCH(Z31,Methodology!$A$2:$A$20,0)),0))</f>
        <v/>
      </c>
      <c r="AD31" s="54">
        <f>AC31*MC_day_rate</f>
        <v/>
      </c>
      <c r="AE31" s="9" t="n"/>
    </row>
    <row r="32">
      <c r="A32" s="9" t="inlineStr">
        <is>
          <t>WT-028</t>
        </is>
      </c>
      <c r="B32" s="9" t="inlineStr">
        <is>
          <t>Open</t>
        </is>
      </c>
      <c r="C32" s="15" t="inlineStr">
        <is>
          <t>Power transformer delivery delay</t>
        </is>
      </c>
      <c r="D32" s="9" t="inlineStr">
        <is>
          <t>Wind Farm Owner</t>
        </is>
      </c>
      <c r="E32" s="9" t="inlineStr">
        <is>
          <t>Balance of Plant</t>
        </is>
      </c>
      <c r="F32" s="9" t="inlineStr">
        <is>
          <t>Procurement</t>
        </is>
      </c>
      <c r="G32" s="9" t="inlineStr">
        <is>
          <t>Yes</t>
        </is>
      </c>
      <c r="H32" s="9" t="inlineStr">
        <is>
          <t>PERT</t>
        </is>
      </c>
      <c r="I32" s="9" t="inlineStr">
        <is>
          <t>CG05</t>
        </is>
      </c>
      <c r="J32" s="9" t="n"/>
      <c r="K32" s="15" t="inlineStr">
        <is>
          <t>synthetic cause</t>
        </is>
      </c>
      <c r="L32" s="15" t="inlineStr">
        <is>
          <t>synthetic consequence</t>
        </is>
      </c>
      <c r="M32" s="15" t="inlineStr">
        <is>
          <t>synthetic controls</t>
        </is>
      </c>
      <c r="N32" s="9" t="inlineStr">
        <is>
          <t>Yes</t>
        </is>
      </c>
      <c r="O32" s="16" t="n">
        <v>0.25</v>
      </c>
      <c r="P32" s="52" t="n">
        <v>150000</v>
      </c>
      <c r="Q32" s="52" t="n">
        <v>400000</v>
      </c>
      <c r="R32" s="52" t="n">
        <v>1000000</v>
      </c>
      <c r="S32" s="15" t="inlineStr">
        <is>
          <t>Wind Farm Beta capex basis</t>
        </is>
      </c>
      <c r="T32" s="9" t="inlineStr">
        <is>
          <t>No</t>
        </is>
      </c>
      <c r="U32" s="16" t="n">
        <v>0</v>
      </c>
      <c r="V32" s="53" t="n">
        <v>0</v>
      </c>
      <c r="W32" s="53" t="n">
        <v>0</v>
      </c>
      <c r="X32" s="53" t="n">
        <v>0</v>
      </c>
      <c r="Y32" s="15" t="inlineStr">
        <is>
          <t>Synthetic</t>
        </is>
      </c>
      <c r="Z32" s="9" t="n"/>
      <c r="AA32" s="9" t="inlineStr">
        <is>
          <t>per_occurrence</t>
        </is>
      </c>
      <c r="AB32" s="54">
        <f>IF(O32="","",O32*IF(OR(LOWER(H32)="pert",LOWER(H32)="binary/pert"),(P32+4*Q32+R32)/6,IF(LOWER(H32)="binary",Q32,IF(LOWER(H32)="lognormal",IF(Q32&lt;=0,0,IF(OR(R32&lt;=P32,R32&lt;=0,P32&lt;=0),ABS(Q32),Q32*EXP((MAX((LN(R32)-LN(P32))/(2*1.2816),0.01)^2)/2))),(P32+Q32+R32)/3))))</f>
        <v/>
      </c>
      <c r="AC32" s="55">
        <f>IF(OR(T32&lt;&gt;"Yes",U32=""),0,U32*(V32+4*W32+X32)/6*IFERROR(INDEX(Methodology!$B$2:$B$20,MATCH(Z32,Methodology!$A$2:$A$20,0)),0))</f>
        <v/>
      </c>
      <c r="AD32" s="54">
        <f>AC32*MC_day_rate</f>
        <v/>
      </c>
      <c r="AE32" s="9" t="n"/>
    </row>
    <row r="33">
      <c r="A33" s="9" t="inlineStr">
        <is>
          <t>WT-029</t>
        </is>
      </c>
      <c r="B33" s="9" t="inlineStr">
        <is>
          <t>Open</t>
        </is>
      </c>
      <c r="C33" s="15" t="inlineStr">
        <is>
          <t>Control building fit-out overrun</t>
        </is>
      </c>
      <c r="D33" s="9" t="inlineStr">
        <is>
          <t>EPC Contractor</t>
        </is>
      </c>
      <c r="E33" s="9" t="inlineStr">
        <is>
          <t>Balance of Plant</t>
        </is>
      </c>
      <c r="F33" s="9" t="inlineStr">
        <is>
          <t>Building</t>
        </is>
      </c>
      <c r="G33" s="9" t="inlineStr">
        <is>
          <t>Yes</t>
        </is>
      </c>
      <c r="H33" s="9" t="inlineStr">
        <is>
          <t>Triangular</t>
        </is>
      </c>
      <c r="I33" s="9" t="inlineStr">
        <is>
          <t>CG05</t>
        </is>
      </c>
      <c r="J33" s="9" t="n"/>
      <c r="K33" s="15" t="inlineStr">
        <is>
          <t>synthetic cause</t>
        </is>
      </c>
      <c r="L33" s="15" t="inlineStr">
        <is>
          <t>synthetic consequence</t>
        </is>
      </c>
      <c r="M33" s="15" t="inlineStr">
        <is>
          <t>synthetic controls</t>
        </is>
      </c>
      <c r="N33" s="9" t="inlineStr">
        <is>
          <t>Yes</t>
        </is>
      </c>
      <c r="O33" s="16" t="n">
        <v>0.3</v>
      </c>
      <c r="P33" s="52" t="n">
        <v>50000</v>
      </c>
      <c r="Q33" s="52" t="n">
        <v>140000</v>
      </c>
      <c r="R33" s="52" t="n">
        <v>320000</v>
      </c>
      <c r="S33" s="15" t="inlineStr">
        <is>
          <t>Wind Farm Beta capex basis</t>
        </is>
      </c>
      <c r="T33" s="9" t="inlineStr">
        <is>
          <t>No</t>
        </is>
      </c>
      <c r="U33" s="16" t="n">
        <v>0</v>
      </c>
      <c r="V33" s="53" t="n">
        <v>0</v>
      </c>
      <c r="W33" s="53" t="n">
        <v>0</v>
      </c>
      <c r="X33" s="53" t="n">
        <v>0</v>
      </c>
      <c r="Y33" s="15" t="inlineStr">
        <is>
          <t>Synthetic</t>
        </is>
      </c>
      <c r="Z33" s="9" t="n"/>
      <c r="AA33" s="9" t="inlineStr">
        <is>
          <t>per_occurrence</t>
        </is>
      </c>
      <c r="AB33" s="54">
        <f>IF(O33="","",O33*IF(OR(LOWER(H33)="pert",LOWER(H33)="binary/pert"),(P33+4*Q33+R33)/6,IF(LOWER(H33)="binary",Q33,IF(LOWER(H33)="lognormal",IF(Q33&lt;=0,0,IF(OR(R33&lt;=P33,R33&lt;=0,P33&lt;=0),ABS(Q33),Q33*EXP((MAX((LN(R33)-LN(P33))/(2*1.2816),0.01)^2)/2))),(P33+Q33+R33)/3))))</f>
        <v/>
      </c>
      <c r="AC33" s="55">
        <f>IF(OR(T33&lt;&gt;"Yes",U33=""),0,U33*(V33+4*W33+X33)/6*IFERROR(INDEX(Methodology!$B$2:$B$20,MATCH(Z33,Methodology!$A$2:$A$20,0)),0))</f>
        <v/>
      </c>
      <c r="AD33" s="54">
        <f>AC33*MC_day_rate</f>
        <v/>
      </c>
      <c r="AE33" s="9" t="n"/>
    </row>
    <row r="34">
      <c r="A34" s="9" t="inlineStr">
        <is>
          <t>WT-030</t>
        </is>
      </c>
      <c r="B34" s="9" t="inlineStr">
        <is>
          <t>Open</t>
        </is>
      </c>
      <c r="C34" s="15" t="inlineStr">
        <is>
          <t>Earthing &amp; lightning protection rework</t>
        </is>
      </c>
      <c r="D34" s="9" t="inlineStr">
        <is>
          <t>EPC Contractor</t>
        </is>
      </c>
      <c r="E34" s="9" t="inlineStr">
        <is>
          <t>Balance of Plant</t>
        </is>
      </c>
      <c r="F34" s="9" t="inlineStr">
        <is>
          <t>Electrical</t>
        </is>
      </c>
      <c r="G34" s="9" t="inlineStr">
        <is>
          <t>Yes</t>
        </is>
      </c>
      <c r="H34" s="9" t="inlineStr">
        <is>
          <t>PERT</t>
        </is>
      </c>
      <c r="I34" s="9" t="inlineStr">
        <is>
          <t>CG05</t>
        </is>
      </c>
      <c r="J34" s="9" t="n"/>
      <c r="K34" s="15" t="inlineStr">
        <is>
          <t>synthetic cause</t>
        </is>
      </c>
      <c r="L34" s="15" t="inlineStr">
        <is>
          <t>synthetic consequence</t>
        </is>
      </c>
      <c r="M34" s="15" t="inlineStr">
        <is>
          <t>synthetic controls</t>
        </is>
      </c>
      <c r="N34" s="9" t="inlineStr">
        <is>
          <t>Yes</t>
        </is>
      </c>
      <c r="O34" s="16" t="n">
        <v>0.25</v>
      </c>
      <c r="P34" s="52" t="n">
        <v>40000</v>
      </c>
      <c r="Q34" s="52" t="n">
        <v>110000</v>
      </c>
      <c r="R34" s="52" t="n">
        <v>280000</v>
      </c>
      <c r="S34" s="15" t="inlineStr">
        <is>
          <t>Wind Farm Beta capex basis</t>
        </is>
      </c>
      <c r="T34" s="9" t="inlineStr">
        <is>
          <t>No</t>
        </is>
      </c>
      <c r="U34" s="16" t="n">
        <v>0</v>
      </c>
      <c r="V34" s="53" t="n">
        <v>0</v>
      </c>
      <c r="W34" s="53" t="n">
        <v>0</v>
      </c>
      <c r="X34" s="53" t="n">
        <v>0</v>
      </c>
      <c r="Y34" s="15" t="inlineStr">
        <is>
          <t>Synthetic</t>
        </is>
      </c>
      <c r="Z34" s="9" t="n"/>
      <c r="AA34" s="9" t="inlineStr">
        <is>
          <t>per_occurrence</t>
        </is>
      </c>
      <c r="AB34" s="54">
        <f>IF(O34="","",O34*IF(OR(LOWER(H34)="pert",LOWER(H34)="binary/pert"),(P34+4*Q34+R34)/6,IF(LOWER(H34)="binary",Q34,IF(LOWER(H34)="lognormal",IF(Q34&lt;=0,0,IF(OR(R34&lt;=P34,R34&lt;=0,P34&lt;=0),ABS(Q34),Q34*EXP((MAX((LN(R34)-LN(P34))/(2*1.2816),0.01)^2)/2))),(P34+Q34+R34)/3))))</f>
        <v/>
      </c>
      <c r="AC34" s="55">
        <f>IF(OR(T34&lt;&gt;"Yes",U34=""),0,U34*(V34+4*W34+X34)/6*IFERROR(INDEX(Methodology!$B$2:$B$20,MATCH(Z34,Methodology!$A$2:$A$20,0)),0))</f>
        <v/>
      </c>
      <c r="AD34" s="54">
        <f>AC34*MC_day_rate</f>
        <v/>
      </c>
      <c r="AE34" s="9" t="n"/>
    </row>
    <row r="35">
      <c r="A35" s="9" t="inlineStr">
        <is>
          <t>WT-031</t>
        </is>
      </c>
      <c r="B35" s="9" t="inlineStr">
        <is>
          <t>Open</t>
        </is>
      </c>
      <c r="C35" s="15" t="inlineStr">
        <is>
          <t>SCADA integration defects</t>
        </is>
      </c>
      <c r="D35" s="9" t="inlineStr">
        <is>
          <t>Shared</t>
        </is>
      </c>
      <c r="E35" s="9" t="inlineStr">
        <is>
          <t>Commissioning &amp; Controls</t>
        </is>
      </c>
      <c r="F35" s="9" t="inlineStr">
        <is>
          <t>Controls</t>
        </is>
      </c>
      <c r="G35" s="9" t="inlineStr">
        <is>
          <t>Yes</t>
        </is>
      </c>
      <c r="H35" s="9" t="inlineStr">
        <is>
          <t>PERT</t>
        </is>
      </c>
      <c r="I35" s="9" t="inlineStr">
        <is>
          <t>CG06</t>
        </is>
      </c>
      <c r="J35" s="9" t="n"/>
      <c r="K35" s="15" t="inlineStr">
        <is>
          <t>synthetic cause</t>
        </is>
      </c>
      <c r="L35" s="15" t="inlineStr">
        <is>
          <t>synthetic consequence</t>
        </is>
      </c>
      <c r="M35" s="15" t="inlineStr">
        <is>
          <t>synthetic controls</t>
        </is>
      </c>
      <c r="N35" s="9" t="inlineStr">
        <is>
          <t>Yes</t>
        </is>
      </c>
      <c r="O35" s="16" t="n">
        <v>0.5</v>
      </c>
      <c r="P35" s="52" t="n">
        <v>110000</v>
      </c>
      <c r="Q35" s="52" t="n">
        <v>300000</v>
      </c>
      <c r="R35" s="52" t="n">
        <v>700000</v>
      </c>
      <c r="S35" s="15" t="inlineStr">
        <is>
          <t>Wind Farm Beta capex basis</t>
        </is>
      </c>
      <c r="T35" s="9" t="inlineStr">
        <is>
          <t>Yes</t>
        </is>
      </c>
      <c r="U35" s="16" t="n">
        <v>0.5</v>
      </c>
      <c r="V35" s="53" t="n">
        <v>4</v>
      </c>
      <c r="W35" s="53" t="n">
        <v>9</v>
      </c>
      <c r="X35" s="53" t="n">
        <v>19</v>
      </c>
      <c r="Y35" s="15" t="inlineStr">
        <is>
          <t>Synthetic</t>
        </is>
      </c>
      <c r="Z35" s="9" t="inlineStr">
        <is>
          <t>Series</t>
        </is>
      </c>
      <c r="AA35" s="9" t="inlineStr">
        <is>
          <t>per_occurrence</t>
        </is>
      </c>
      <c r="AB35" s="54">
        <f>IF(O35="","",O35*IF(OR(LOWER(H35)="pert",LOWER(H35)="binary/pert"),(P35+4*Q35+R35)/6,IF(LOWER(H35)="binary",Q35,IF(LOWER(H35)="lognormal",IF(Q35&lt;=0,0,IF(OR(R35&lt;=P35,R35&lt;=0,P35&lt;=0),ABS(Q35),Q35*EXP((MAX((LN(R35)-LN(P35))/(2*1.2816),0.01)^2)/2))),(P35+Q35+R35)/3))))</f>
        <v/>
      </c>
      <c r="AC35" s="55">
        <f>IF(OR(T35&lt;&gt;"Yes",U35=""),0,U35*(V35+4*W35+X35)/6*IFERROR(INDEX(Methodology!$B$2:$B$20,MATCH(Z35,Methodology!$A$2:$A$20,0)),0))</f>
        <v/>
      </c>
      <c r="AD35" s="54">
        <f>AC35*MC_day_rate</f>
        <v/>
      </c>
      <c r="AE35" s="9" t="n"/>
    </row>
    <row r="36">
      <c r="A36" s="9" t="inlineStr">
        <is>
          <t>WT-032</t>
        </is>
      </c>
      <c r="B36" s="9" t="inlineStr">
        <is>
          <t>Open</t>
        </is>
      </c>
      <c r="C36" s="15" t="inlineStr">
        <is>
          <t>Turbine commissioning faults</t>
        </is>
      </c>
      <c r="D36" s="9" t="inlineStr">
        <is>
          <t>EPC Contractor</t>
        </is>
      </c>
      <c r="E36" s="9" t="inlineStr">
        <is>
          <t>Commissioning &amp; Controls</t>
        </is>
      </c>
      <c r="F36" s="9" t="inlineStr">
        <is>
          <t>Commissioning</t>
        </is>
      </c>
      <c r="G36" s="9" t="inlineStr">
        <is>
          <t>Yes</t>
        </is>
      </c>
      <c r="H36" s="9" t="inlineStr">
        <is>
          <t>Triangular</t>
        </is>
      </c>
      <c r="I36" s="9" t="inlineStr">
        <is>
          <t>CG06</t>
        </is>
      </c>
      <c r="J36" s="9" t="n"/>
      <c r="K36" s="15" t="inlineStr">
        <is>
          <t>synthetic cause</t>
        </is>
      </c>
      <c r="L36" s="15" t="inlineStr">
        <is>
          <t>synthetic consequence</t>
        </is>
      </c>
      <c r="M36" s="15" t="inlineStr">
        <is>
          <t>synthetic controls</t>
        </is>
      </c>
      <c r="N36" s="9" t="inlineStr">
        <is>
          <t>Yes</t>
        </is>
      </c>
      <c r="O36" s="16" t="n">
        <v>0.45</v>
      </c>
      <c r="P36" s="52" t="n">
        <v>90000</v>
      </c>
      <c r="Q36" s="52" t="n">
        <v>250000</v>
      </c>
      <c r="R36" s="52" t="n">
        <v>600000</v>
      </c>
      <c r="S36" s="15" t="inlineStr">
        <is>
          <t>Wind Farm Beta capex basis</t>
        </is>
      </c>
      <c r="T36" s="9" t="inlineStr">
        <is>
          <t>Yes</t>
        </is>
      </c>
      <c r="U36" s="16" t="n">
        <v>0.45</v>
      </c>
      <c r="V36" s="53" t="n">
        <v>3</v>
      </c>
      <c r="W36" s="53" t="n">
        <v>7</v>
      </c>
      <c r="X36" s="53" t="n">
        <v>16</v>
      </c>
      <c r="Y36" s="15" t="inlineStr">
        <is>
          <t>Synthetic</t>
        </is>
      </c>
      <c r="Z36" s="9" t="inlineStr">
        <is>
          <t>Hybrid</t>
        </is>
      </c>
      <c r="AA36" s="9" t="inlineStr">
        <is>
          <t>per_occurrence</t>
        </is>
      </c>
      <c r="AB36" s="54">
        <f>IF(O36="","",O36*IF(OR(LOWER(H36)="pert",LOWER(H36)="binary/pert"),(P36+4*Q36+R36)/6,IF(LOWER(H36)="binary",Q36,IF(LOWER(H36)="lognormal",IF(Q36&lt;=0,0,IF(OR(R36&lt;=P36,R36&lt;=0,P36&lt;=0),ABS(Q36),Q36*EXP((MAX((LN(R36)-LN(P36))/(2*1.2816),0.01)^2)/2))),(P36+Q36+R36)/3))))</f>
        <v/>
      </c>
      <c r="AC36" s="55">
        <f>IF(OR(T36&lt;&gt;"Yes",U36=""),0,U36*(V36+4*W36+X36)/6*IFERROR(INDEX(Methodology!$B$2:$B$20,MATCH(Z36,Methodology!$A$2:$A$20,0)),0))</f>
        <v/>
      </c>
      <c r="AD36" s="54">
        <f>AC36*MC_day_rate</f>
        <v/>
      </c>
      <c r="AE36" s="9" t="n"/>
    </row>
    <row r="37">
      <c r="A37" s="9" t="inlineStr">
        <is>
          <t>WT-033</t>
        </is>
      </c>
      <c r="B37" s="9" t="inlineStr">
        <is>
          <t>Open</t>
        </is>
      </c>
      <c r="C37" s="15" t="inlineStr">
        <is>
          <t>Power performance test shortfall</t>
        </is>
      </c>
      <c r="D37" s="9" t="inlineStr">
        <is>
          <t>Wind Farm Owner</t>
        </is>
      </c>
      <c r="E37" s="9" t="inlineStr">
        <is>
          <t>Commissioning &amp; Controls</t>
        </is>
      </c>
      <c r="F37" s="9" t="inlineStr">
        <is>
          <t>Testing</t>
        </is>
      </c>
      <c r="G37" s="9" t="inlineStr">
        <is>
          <t>Yes</t>
        </is>
      </c>
      <c r="H37" s="9" t="inlineStr">
        <is>
          <t>PERT</t>
        </is>
      </c>
      <c r="I37" s="9" t="inlineStr">
        <is>
          <t>CG06</t>
        </is>
      </c>
      <c r="J37" s="9" t="n"/>
      <c r="K37" s="15" t="inlineStr">
        <is>
          <t>synthetic cause</t>
        </is>
      </c>
      <c r="L37" s="15" t="inlineStr">
        <is>
          <t>synthetic consequence</t>
        </is>
      </c>
      <c r="M37" s="15" t="inlineStr">
        <is>
          <t>synthetic controls</t>
        </is>
      </c>
      <c r="N37" s="9" t="inlineStr">
        <is>
          <t>Yes</t>
        </is>
      </c>
      <c r="O37" s="16" t="n">
        <v>0.3</v>
      </c>
      <c r="P37" s="52" t="n">
        <v>60000</v>
      </c>
      <c r="Q37" s="52" t="n">
        <v>160000</v>
      </c>
      <c r="R37" s="52" t="n">
        <v>400000</v>
      </c>
      <c r="S37" s="15" t="inlineStr">
        <is>
          <t>Wind Farm Beta capex basis</t>
        </is>
      </c>
      <c r="T37" s="9" t="inlineStr">
        <is>
          <t>No</t>
        </is>
      </c>
      <c r="U37" s="16" t="n">
        <v>0</v>
      </c>
      <c r="V37" s="53" t="n">
        <v>0</v>
      </c>
      <c r="W37" s="53" t="n">
        <v>0</v>
      </c>
      <c r="X37" s="53" t="n">
        <v>0</v>
      </c>
      <c r="Y37" s="15" t="inlineStr">
        <is>
          <t>Synthetic</t>
        </is>
      </c>
      <c r="Z37" s="9" t="n"/>
      <c r="AA37" s="9" t="inlineStr">
        <is>
          <t>per_occurrence</t>
        </is>
      </c>
      <c r="AB37" s="54">
        <f>IF(O37="","",O37*IF(OR(LOWER(H37)="pert",LOWER(H37)="binary/pert"),(P37+4*Q37+R37)/6,IF(LOWER(H37)="binary",Q37,IF(LOWER(H37)="lognormal",IF(Q37&lt;=0,0,IF(OR(R37&lt;=P37,R37&lt;=0,P37&lt;=0),ABS(Q37),Q37*EXP((MAX((LN(R37)-LN(P37))/(2*1.2816),0.01)^2)/2))),(P37+Q37+R37)/3))))</f>
        <v/>
      </c>
      <c r="AC37" s="55">
        <f>IF(OR(T37&lt;&gt;"Yes",U37=""),0,U37*(V37+4*W37+X37)/6*IFERROR(INDEX(Methodology!$B$2:$B$20,MATCH(Z37,Methodology!$A$2:$A$20,0)),0))</f>
        <v/>
      </c>
      <c r="AD37" s="54">
        <f>AC37*MC_day_rate</f>
        <v/>
      </c>
      <c r="AE37" s="9" t="n"/>
    </row>
    <row r="38">
      <c r="A38" s="9" t="inlineStr">
        <is>
          <t>WT-034</t>
        </is>
      </c>
      <c r="B38" s="9" t="inlineStr">
        <is>
          <t>Open</t>
        </is>
      </c>
      <c r="C38" s="15" t="inlineStr">
        <is>
          <t>Grid code compliance retest</t>
        </is>
      </c>
      <c r="D38" s="9" t="inlineStr">
        <is>
          <t>Shared</t>
        </is>
      </c>
      <c r="E38" s="9" t="inlineStr">
        <is>
          <t>Commissioning &amp; Controls</t>
        </is>
      </c>
      <c r="F38" s="9" t="inlineStr">
        <is>
          <t>Testing</t>
        </is>
      </c>
      <c r="G38" s="9" t="inlineStr">
        <is>
          <t>Yes</t>
        </is>
      </c>
      <c r="H38" s="9" t="inlineStr">
        <is>
          <t>Triangular</t>
        </is>
      </c>
      <c r="I38" s="9" t="inlineStr">
        <is>
          <t>CG06</t>
        </is>
      </c>
      <c r="J38" s="9" t="n"/>
      <c r="K38" s="15" t="inlineStr">
        <is>
          <t>synthetic cause</t>
        </is>
      </c>
      <c r="L38" s="15" t="inlineStr">
        <is>
          <t>synthetic consequence</t>
        </is>
      </c>
      <c r="M38" s="15" t="inlineStr">
        <is>
          <t>synthetic controls</t>
        </is>
      </c>
      <c r="N38" s="9" t="inlineStr">
        <is>
          <t>Yes</t>
        </is>
      </c>
      <c r="O38" s="16" t="n">
        <v>0.25</v>
      </c>
      <c r="P38" s="52" t="n">
        <v>70000</v>
      </c>
      <c r="Q38" s="52" t="n">
        <v>180000</v>
      </c>
      <c r="R38" s="52" t="n">
        <v>450000</v>
      </c>
      <c r="S38" s="15" t="inlineStr">
        <is>
          <t>Wind Farm Beta capex basis</t>
        </is>
      </c>
      <c r="T38" s="9" t="inlineStr">
        <is>
          <t>No</t>
        </is>
      </c>
      <c r="U38" s="16" t="n">
        <v>0</v>
      </c>
      <c r="V38" s="53" t="n">
        <v>0</v>
      </c>
      <c r="W38" s="53" t="n">
        <v>0</v>
      </c>
      <c r="X38" s="53" t="n">
        <v>0</v>
      </c>
      <c r="Y38" s="15" t="inlineStr">
        <is>
          <t>Synthetic</t>
        </is>
      </c>
      <c r="Z38" s="9" t="n"/>
      <c r="AA38" s="9" t="inlineStr">
        <is>
          <t>per_occurrence</t>
        </is>
      </c>
      <c r="AB38" s="54">
        <f>IF(O38="","",O38*IF(OR(LOWER(H38)="pert",LOWER(H38)="binary/pert"),(P38+4*Q38+R38)/6,IF(LOWER(H38)="binary",Q38,IF(LOWER(H38)="lognormal",IF(Q38&lt;=0,0,IF(OR(R38&lt;=P38,R38&lt;=0,P38&lt;=0),ABS(Q38),Q38*EXP((MAX((LN(R38)-LN(P38))/(2*1.2816),0.01)^2)/2))),(P38+Q38+R38)/3))))</f>
        <v/>
      </c>
      <c r="AC38" s="55">
        <f>IF(OR(T38&lt;&gt;"Yes",U38=""),0,U38*(V38+4*W38+X38)/6*IFERROR(INDEX(Methodology!$B$2:$B$20,MATCH(Z38,Methodology!$A$2:$A$20,0)),0))</f>
        <v/>
      </c>
      <c r="AD38" s="54">
        <f>AC38*MC_day_rate</f>
        <v/>
      </c>
      <c r="AE38" s="9" t="n"/>
    </row>
    <row r="39">
      <c r="A39" s="9" t="inlineStr">
        <is>
          <t>WT-035</t>
        </is>
      </c>
      <c r="B39" s="9" t="inlineStr">
        <is>
          <t>Open</t>
        </is>
      </c>
      <c r="C39" s="15" t="inlineStr">
        <is>
          <t>Punchlist / defects liability</t>
        </is>
      </c>
      <c r="D39" s="9" t="inlineStr">
        <is>
          <t>EPC Contractor</t>
        </is>
      </c>
      <c r="E39" s="9" t="inlineStr">
        <is>
          <t>Commissioning &amp; Controls</t>
        </is>
      </c>
      <c r="F39" s="9" t="inlineStr">
        <is>
          <t>Closeout</t>
        </is>
      </c>
      <c r="G39" s="9" t="inlineStr">
        <is>
          <t>Yes</t>
        </is>
      </c>
      <c r="H39" s="9" t="inlineStr">
        <is>
          <t>PERT</t>
        </is>
      </c>
      <c r="I39" s="9" t="inlineStr">
        <is>
          <t>CG06</t>
        </is>
      </c>
      <c r="J39" s="9" t="n"/>
      <c r="K39" s="15" t="inlineStr">
        <is>
          <t>synthetic cause</t>
        </is>
      </c>
      <c r="L39" s="15" t="inlineStr">
        <is>
          <t>synthetic consequence</t>
        </is>
      </c>
      <c r="M39" s="15" t="inlineStr">
        <is>
          <t>synthetic controls</t>
        </is>
      </c>
      <c r="N39" s="9" t="inlineStr">
        <is>
          <t>Yes</t>
        </is>
      </c>
      <c r="O39" s="16" t="n">
        <v>0.4</v>
      </c>
      <c r="P39" s="52" t="n">
        <v>50000</v>
      </c>
      <c r="Q39" s="52" t="n">
        <v>140000</v>
      </c>
      <c r="R39" s="52" t="n">
        <v>350000</v>
      </c>
      <c r="S39" s="15" t="inlineStr">
        <is>
          <t>Wind Farm Beta capex basis</t>
        </is>
      </c>
      <c r="T39" s="9" t="inlineStr">
        <is>
          <t>No</t>
        </is>
      </c>
      <c r="U39" s="16" t="n">
        <v>0</v>
      </c>
      <c r="V39" s="53" t="n">
        <v>0</v>
      </c>
      <c r="W39" s="53" t="n">
        <v>0</v>
      </c>
      <c r="X39" s="53" t="n">
        <v>0</v>
      </c>
      <c r="Y39" s="15" t="inlineStr">
        <is>
          <t>Synthetic</t>
        </is>
      </c>
      <c r="Z39" s="9" t="n"/>
      <c r="AA39" s="9" t="inlineStr">
        <is>
          <t>per_occurrence</t>
        </is>
      </c>
      <c r="AB39" s="54">
        <f>IF(O39="","",O39*IF(OR(LOWER(H39)="pert",LOWER(H39)="binary/pert"),(P39+4*Q39+R39)/6,IF(LOWER(H39)="binary",Q39,IF(LOWER(H39)="lognormal",IF(Q39&lt;=0,0,IF(OR(R39&lt;=P39,R39&lt;=0,P39&lt;=0),ABS(Q39),Q39*EXP((MAX((LN(R39)-LN(P39))/(2*1.2816),0.01)^2)/2))),(P39+Q39+R39)/3))))</f>
        <v/>
      </c>
      <c r="AC39" s="55">
        <f>IF(OR(T39&lt;&gt;"Yes",U39=""),0,U39*(V39+4*W39+X39)/6*IFERROR(INDEX(Methodology!$B$2:$B$20,MATCH(Z39,Methodology!$A$2:$A$20,0)),0))</f>
        <v/>
      </c>
      <c r="AD39" s="54">
        <f>AC39*MC_day_rate</f>
        <v/>
      </c>
      <c r="AE39" s="9" t="n"/>
    </row>
  </sheetData>
  <sheetProtection selectLockedCells="0" selectUnlockedCells="0" sheet="1" objects="0" insertRows="1" insertHyperlinks="1" autoFilter="0" scenarios="0" formatColumns="1" deleteColumns="1" insertColumns="1" pivotTables="1" deleteRows="1" formatCells="1" formatRows="1" sort="0"/>
  <autoFilter ref="A4:AE39"/>
  <conditionalFormatting sqref="H5:H39">
    <cfRule type="expression" priority="1" dxfId="0">
      <formula>AND($G5="Yes",H5="")</formula>
    </cfRule>
  </conditionalFormatting>
  <dataValidations count="9">
    <dataValidation sqref="H5:H39" showDropDown="0" showInputMessage="0" showErrorMessage="0" allowBlank="1" errorTitle="Invalid Distribution" error="Choose a value from the Distribution cascade list (edit it on the Lists tab)." type="list">
      <formula1>List_Distribution</formula1>
    </dataValidation>
    <dataValidation sqref="G5:G39" showDropDown="0" showInputMessage="0" showErrorMessage="0" allowBlank="1" errorTitle="Invalid MCInclude" error="Choose a value from the MCInclude cascade list (edit it on the Lists tab)." type="list">
      <formula1>List_MCInclude</formula1>
    </dataValidation>
    <dataValidation sqref="T5:T39" showDropDown="0" showInputMessage="0" showErrorMessage="0" allowBlank="1" errorTitle="Invalid TimeImpact" error="Choose a value from the TimeImpact cascade list (edit it on the Lists tab)." type="list">
      <formula1>List_TimeImpact</formula1>
    </dataValidation>
    <dataValidation sqref="J5:J39" showDropDown="0" showInputMessage="0" showErrorMessage="0" allowBlank="1" errorTitle="Invalid Recurrence" error="Choose a value from the Recurrence cascade list (edit it on the Lists tab)." type="list">
      <formula1>List_Recurrence</formula1>
    </dataValidation>
    <dataValidation sqref="Z5:Z39" showDropDown="0" showInputMessage="0" showErrorMessage="0" allowBlank="1" errorTitle="Invalid Mode" error="Choose a value from the Mode cascade list (edit it on the Lists tab)." type="list">
      <formula1>List_Mode</formula1>
    </dataValidation>
    <dataValidation sqref="I5:I39" showDropDown="0" showInputMessage="0" showErrorMessage="0" allowBlank="1" errorTitle="Invalid CGCode" error="Choose a value from the CGCode cascade list (edit it on the Lists tab)." type="list">
      <formula1>List_CGCode</formula1>
    </dataValidation>
    <dataValidation sqref="E5:E39" showDropDown="0" showInputMessage="0" showErrorMessage="0" allowBlank="1" errorTitle="Invalid RBS_L1" error="Choose a value from the RBS_L1 cascade list (edit it on the Lists tab)." type="list">
      <formula1>List_RBS_L1</formula1>
    </dataValidation>
    <dataValidation sqref="F5:F39" showDropDown="0" showInputMessage="0" showErrorMessage="0" allowBlank="1" errorTitle="Invalid RBS_L2" error="Choose a value from the RBS_L2 cascade list (edit it on the Lists tab)." type="list">
      <formula1>List_RBS_L2</formula1>
    </dataValidation>
    <dataValidation sqref="D5:D39" showDropDown="0" showInputMessage="0" showErrorMessage="0" allowBlank="1" errorTitle="Invalid Package" error="Choose a value from the Package cascade list (edit it on the Lists tab)." type="list">
      <formula1>List_Package</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5AE6FF"/>
    <outlinePr summaryBelow="1" summaryRight="1"/>
    <pageSetUpPr/>
  </sheetPr>
  <dimension ref="A1:B89"/>
  <sheetViews>
    <sheetView workbookViewId="0">
      <selection activeCell="A1" sqref="A1"/>
    </sheetView>
  </sheetViews>
  <sheetFormatPr baseColWidth="8" defaultRowHeight="15"/>
  <cols>
    <col width="34" customWidth="1" min="1" max="1"/>
    <col width="34" customWidth="1" min="2" max="2"/>
    <col width="20" customWidth="1" min="3" max="3"/>
    <col width="20" customWidth="1" min="4" max="4"/>
  </cols>
  <sheetData>
    <row r="1">
      <c r="A1" s="40" t="inlineStr">
        <is>
          <t>EMV &amp; Mode Analysis - Tropic Ridge Wind Farm</t>
        </is>
      </c>
    </row>
    <row r="2">
      <c r="A2" s="26" t="inlineStr">
        <is>
          <t>Deterministic Layer-1 expected values (means) from the register EMV columns, NOT Monte-Carlo P-levels. Live formulas; refresh on open.</t>
        </is>
      </c>
    </row>
    <row r="3"/>
    <row r="4">
      <c r="A4" s="27" t="inlineStr">
        <is>
          <t>Layer-1 totals</t>
        </is>
      </c>
    </row>
    <row r="5">
      <c r="A5" t="inlineStr">
        <is>
          <t>Total cost EMV ($)</t>
        </is>
      </c>
      <c r="B5" s="43">
        <f>SUM('Risk Register'!AB5:AB39)</f>
        <v/>
      </c>
    </row>
    <row r="6">
      <c r="A6" t="inlineStr">
        <is>
          <t>Total schedule EMV ($)</t>
        </is>
      </c>
      <c r="B6" s="43">
        <f>SUM('Risk Register'!AD5:AD39)</f>
        <v/>
      </c>
    </row>
    <row r="7">
      <c r="A7" t="inlineStr">
        <is>
          <t>Total Layer-1 EMV ($)</t>
        </is>
      </c>
      <c r="B7" s="56">
        <f>B5+B6</f>
        <v/>
      </c>
    </row>
    <row r="8">
      <c r="A8" t="inlineStr">
        <is>
          <t>Risks: Series / Hybrid / Parallel</t>
        </is>
      </c>
      <c r="B8">
        <f>COUNTIF('Risk Register'!Z5:Z39,"Series")&amp;" / "&amp;COUNTIF('Risk Register'!Z5:Z39,"Hybrid")&amp;" / "&amp;COUNTIF('Risk Register'!Z5:Z39,"Parallel")</f>
        <v/>
      </c>
    </row>
    <row r="9"/>
    <row r="10"/>
    <row r="11">
      <c r="A11" s="57" t="inlineStr">
        <is>
          <t>Risk</t>
        </is>
      </c>
      <c r="B11" s="57" t="inlineStr">
        <is>
          <t>Cost EMV ($)</t>
        </is>
      </c>
    </row>
    <row r="12">
      <c r="A12">
        <f>'Risk Register'!A5</f>
        <v/>
      </c>
      <c r="B12" s="43">
        <f>'Risk Register'!AB5</f>
        <v/>
      </c>
    </row>
    <row r="13">
      <c r="A13">
        <f>'Risk Register'!A6</f>
        <v/>
      </c>
      <c r="B13" s="43">
        <f>'Risk Register'!AB6</f>
        <v/>
      </c>
    </row>
    <row r="14">
      <c r="A14">
        <f>'Risk Register'!A7</f>
        <v/>
      </c>
      <c r="B14" s="43">
        <f>'Risk Register'!AB7</f>
        <v/>
      </c>
    </row>
    <row r="15">
      <c r="A15">
        <f>'Risk Register'!A8</f>
        <v/>
      </c>
      <c r="B15" s="43">
        <f>'Risk Register'!AB8</f>
        <v/>
      </c>
    </row>
    <row r="16">
      <c r="A16">
        <f>'Risk Register'!A9</f>
        <v/>
      </c>
      <c r="B16" s="43">
        <f>'Risk Register'!AB9</f>
        <v/>
      </c>
    </row>
    <row r="17">
      <c r="A17">
        <f>'Risk Register'!A10</f>
        <v/>
      </c>
      <c r="B17" s="43">
        <f>'Risk Register'!AB10</f>
        <v/>
      </c>
    </row>
    <row r="18">
      <c r="A18">
        <f>'Risk Register'!A11</f>
        <v/>
      </c>
      <c r="B18" s="43">
        <f>'Risk Register'!AB11</f>
        <v/>
      </c>
    </row>
    <row r="19">
      <c r="A19">
        <f>'Risk Register'!A12</f>
        <v/>
      </c>
      <c r="B19" s="43">
        <f>'Risk Register'!AB12</f>
        <v/>
      </c>
    </row>
    <row r="20">
      <c r="A20">
        <f>'Risk Register'!A13</f>
        <v/>
      </c>
      <c r="B20" s="43">
        <f>'Risk Register'!AB13</f>
        <v/>
      </c>
    </row>
    <row r="21">
      <c r="A21">
        <f>'Risk Register'!A14</f>
        <v/>
      </c>
      <c r="B21" s="43">
        <f>'Risk Register'!AB14</f>
        <v/>
      </c>
    </row>
    <row r="22">
      <c r="A22">
        <f>'Risk Register'!A15</f>
        <v/>
      </c>
      <c r="B22" s="43">
        <f>'Risk Register'!AB15</f>
        <v/>
      </c>
    </row>
    <row r="23">
      <c r="A23">
        <f>'Risk Register'!A16</f>
        <v/>
      </c>
      <c r="B23" s="43">
        <f>'Risk Register'!AB16</f>
        <v/>
      </c>
    </row>
    <row r="24">
      <c r="A24">
        <f>'Risk Register'!A17</f>
        <v/>
      </c>
      <c r="B24" s="43">
        <f>'Risk Register'!AB17</f>
        <v/>
      </c>
    </row>
    <row r="25">
      <c r="A25">
        <f>'Risk Register'!A18</f>
        <v/>
      </c>
      <c r="B25" s="43">
        <f>'Risk Register'!AB18</f>
        <v/>
      </c>
    </row>
    <row r="26">
      <c r="A26">
        <f>'Risk Register'!A19</f>
        <v/>
      </c>
      <c r="B26" s="43">
        <f>'Risk Register'!AB19</f>
        <v/>
      </c>
    </row>
    <row r="27">
      <c r="A27">
        <f>'Risk Register'!A20</f>
        <v/>
      </c>
      <c r="B27" s="43">
        <f>'Risk Register'!AB20</f>
        <v/>
      </c>
    </row>
    <row r="28">
      <c r="A28">
        <f>'Risk Register'!A21</f>
        <v/>
      </c>
      <c r="B28" s="43">
        <f>'Risk Register'!AB21</f>
        <v/>
      </c>
    </row>
    <row r="29">
      <c r="A29">
        <f>'Risk Register'!A22</f>
        <v/>
      </c>
      <c r="B29" s="43">
        <f>'Risk Register'!AB22</f>
        <v/>
      </c>
    </row>
    <row r="30">
      <c r="A30">
        <f>'Risk Register'!A23</f>
        <v/>
      </c>
      <c r="B30" s="43">
        <f>'Risk Register'!AB23</f>
        <v/>
      </c>
    </row>
    <row r="31">
      <c r="A31">
        <f>'Risk Register'!A24</f>
        <v/>
      </c>
      <c r="B31" s="43">
        <f>'Risk Register'!AB24</f>
        <v/>
      </c>
    </row>
    <row r="32">
      <c r="A32">
        <f>'Risk Register'!A25</f>
        <v/>
      </c>
      <c r="B32" s="43">
        <f>'Risk Register'!AB25</f>
        <v/>
      </c>
    </row>
    <row r="33">
      <c r="A33">
        <f>'Risk Register'!A26</f>
        <v/>
      </c>
      <c r="B33" s="43">
        <f>'Risk Register'!AB26</f>
        <v/>
      </c>
    </row>
    <row r="34">
      <c r="A34">
        <f>'Risk Register'!A27</f>
        <v/>
      </c>
      <c r="B34" s="43">
        <f>'Risk Register'!AB27</f>
        <v/>
      </c>
    </row>
    <row r="35">
      <c r="A35">
        <f>'Risk Register'!A28</f>
        <v/>
      </c>
      <c r="B35" s="43">
        <f>'Risk Register'!AB28</f>
        <v/>
      </c>
    </row>
    <row r="36">
      <c r="A36">
        <f>'Risk Register'!A29</f>
        <v/>
      </c>
      <c r="B36" s="43">
        <f>'Risk Register'!AB29</f>
        <v/>
      </c>
    </row>
    <row r="37">
      <c r="A37">
        <f>'Risk Register'!A30</f>
        <v/>
      </c>
      <c r="B37" s="43">
        <f>'Risk Register'!AB30</f>
        <v/>
      </c>
    </row>
    <row r="38">
      <c r="A38">
        <f>'Risk Register'!A31</f>
        <v/>
      </c>
      <c r="B38" s="43">
        <f>'Risk Register'!AB31</f>
        <v/>
      </c>
    </row>
    <row r="39">
      <c r="A39">
        <f>'Risk Register'!A32</f>
        <v/>
      </c>
      <c r="B39" s="43">
        <f>'Risk Register'!AB32</f>
        <v/>
      </c>
    </row>
    <row r="40">
      <c r="A40">
        <f>'Risk Register'!A33</f>
        <v/>
      </c>
      <c r="B40" s="43">
        <f>'Risk Register'!AB33</f>
        <v/>
      </c>
    </row>
    <row r="41">
      <c r="A41">
        <f>'Risk Register'!A34</f>
        <v/>
      </c>
      <c r="B41" s="43">
        <f>'Risk Register'!AB34</f>
        <v/>
      </c>
    </row>
    <row r="42">
      <c r="A42">
        <f>'Risk Register'!A35</f>
        <v/>
      </c>
      <c r="B42" s="43">
        <f>'Risk Register'!AB35</f>
        <v/>
      </c>
    </row>
    <row r="43">
      <c r="A43">
        <f>'Risk Register'!A36</f>
        <v/>
      </c>
      <c r="B43" s="43">
        <f>'Risk Register'!AB36</f>
        <v/>
      </c>
    </row>
    <row r="44">
      <c r="A44">
        <f>'Risk Register'!A37</f>
        <v/>
      </c>
      <c r="B44" s="43">
        <f>'Risk Register'!AB37</f>
        <v/>
      </c>
    </row>
    <row r="45">
      <c r="A45">
        <f>'Risk Register'!A38</f>
        <v/>
      </c>
      <c r="B45" s="43">
        <f>'Risk Register'!AB38</f>
        <v/>
      </c>
    </row>
    <row r="46">
      <c r="A46">
        <f>'Risk Register'!A39</f>
        <v/>
      </c>
      <c r="B46" s="43">
        <f>'Risk Register'!AB39</f>
        <v/>
      </c>
    </row>
    <row r="47"/>
    <row r="48"/>
    <row r="49">
      <c r="A49" s="57" t="inlineStr">
        <is>
          <t>Risk</t>
        </is>
      </c>
      <c r="B49" s="57" t="inlineStr">
        <is>
          <t>Schedule EMV ($)</t>
        </is>
      </c>
    </row>
    <row r="50">
      <c r="A50">
        <f>'Risk Register'!A5</f>
        <v/>
      </c>
      <c r="B50" s="43">
        <f>'Risk Register'!AD5</f>
        <v/>
      </c>
    </row>
    <row r="51">
      <c r="A51">
        <f>'Risk Register'!A6</f>
        <v/>
      </c>
      <c r="B51" s="43">
        <f>'Risk Register'!AD6</f>
        <v/>
      </c>
    </row>
    <row r="52">
      <c r="A52">
        <f>'Risk Register'!A7</f>
        <v/>
      </c>
      <c r="B52" s="43">
        <f>'Risk Register'!AD7</f>
        <v/>
      </c>
    </row>
    <row r="53">
      <c r="A53">
        <f>'Risk Register'!A8</f>
        <v/>
      </c>
      <c r="B53" s="43">
        <f>'Risk Register'!AD8</f>
        <v/>
      </c>
    </row>
    <row r="54">
      <c r="A54">
        <f>'Risk Register'!A9</f>
        <v/>
      </c>
      <c r="B54" s="43">
        <f>'Risk Register'!AD9</f>
        <v/>
      </c>
    </row>
    <row r="55">
      <c r="A55">
        <f>'Risk Register'!A10</f>
        <v/>
      </c>
      <c r="B55" s="43">
        <f>'Risk Register'!AD10</f>
        <v/>
      </c>
    </row>
    <row r="56">
      <c r="A56">
        <f>'Risk Register'!A11</f>
        <v/>
      </c>
      <c r="B56" s="43">
        <f>'Risk Register'!AD11</f>
        <v/>
      </c>
    </row>
    <row r="57">
      <c r="A57">
        <f>'Risk Register'!A12</f>
        <v/>
      </c>
      <c r="B57" s="43">
        <f>'Risk Register'!AD12</f>
        <v/>
      </c>
    </row>
    <row r="58">
      <c r="A58">
        <f>'Risk Register'!A13</f>
        <v/>
      </c>
      <c r="B58" s="43">
        <f>'Risk Register'!AD13</f>
        <v/>
      </c>
    </row>
    <row r="59">
      <c r="A59">
        <f>'Risk Register'!A14</f>
        <v/>
      </c>
      <c r="B59" s="43">
        <f>'Risk Register'!AD14</f>
        <v/>
      </c>
    </row>
    <row r="60">
      <c r="A60">
        <f>'Risk Register'!A15</f>
        <v/>
      </c>
      <c r="B60" s="43">
        <f>'Risk Register'!AD15</f>
        <v/>
      </c>
    </row>
    <row r="61">
      <c r="A61">
        <f>'Risk Register'!A16</f>
        <v/>
      </c>
      <c r="B61" s="43">
        <f>'Risk Register'!AD16</f>
        <v/>
      </c>
    </row>
    <row r="62">
      <c r="A62">
        <f>'Risk Register'!A17</f>
        <v/>
      </c>
      <c r="B62" s="43">
        <f>'Risk Register'!AD17</f>
        <v/>
      </c>
    </row>
    <row r="63">
      <c r="A63">
        <f>'Risk Register'!A18</f>
        <v/>
      </c>
      <c r="B63" s="43">
        <f>'Risk Register'!AD18</f>
        <v/>
      </c>
    </row>
    <row r="64">
      <c r="A64">
        <f>'Risk Register'!A19</f>
        <v/>
      </c>
      <c r="B64" s="43">
        <f>'Risk Register'!AD19</f>
        <v/>
      </c>
    </row>
    <row r="65">
      <c r="A65">
        <f>'Risk Register'!A20</f>
        <v/>
      </c>
      <c r="B65" s="43">
        <f>'Risk Register'!AD20</f>
        <v/>
      </c>
    </row>
    <row r="66">
      <c r="A66">
        <f>'Risk Register'!A21</f>
        <v/>
      </c>
      <c r="B66" s="43">
        <f>'Risk Register'!AD21</f>
        <v/>
      </c>
    </row>
    <row r="67">
      <c r="A67">
        <f>'Risk Register'!A22</f>
        <v/>
      </c>
      <c r="B67" s="43">
        <f>'Risk Register'!AD22</f>
        <v/>
      </c>
    </row>
    <row r="68">
      <c r="A68">
        <f>'Risk Register'!A23</f>
        <v/>
      </c>
      <c r="B68" s="43">
        <f>'Risk Register'!AD23</f>
        <v/>
      </c>
    </row>
    <row r="69">
      <c r="A69">
        <f>'Risk Register'!A24</f>
        <v/>
      </c>
      <c r="B69" s="43">
        <f>'Risk Register'!AD24</f>
        <v/>
      </c>
    </row>
    <row r="70">
      <c r="A70">
        <f>'Risk Register'!A25</f>
        <v/>
      </c>
      <c r="B70" s="43">
        <f>'Risk Register'!AD25</f>
        <v/>
      </c>
    </row>
    <row r="71">
      <c r="A71">
        <f>'Risk Register'!A26</f>
        <v/>
      </c>
      <c r="B71" s="43">
        <f>'Risk Register'!AD26</f>
        <v/>
      </c>
    </row>
    <row r="72">
      <c r="A72">
        <f>'Risk Register'!A27</f>
        <v/>
      </c>
      <c r="B72" s="43">
        <f>'Risk Register'!AD27</f>
        <v/>
      </c>
    </row>
    <row r="73">
      <c r="A73">
        <f>'Risk Register'!A28</f>
        <v/>
      </c>
      <c r="B73" s="43">
        <f>'Risk Register'!AD28</f>
        <v/>
      </c>
    </row>
    <row r="74">
      <c r="A74">
        <f>'Risk Register'!A29</f>
        <v/>
      </c>
      <c r="B74" s="43">
        <f>'Risk Register'!AD29</f>
        <v/>
      </c>
    </row>
    <row r="75">
      <c r="A75">
        <f>'Risk Register'!A30</f>
        <v/>
      </c>
      <c r="B75" s="43">
        <f>'Risk Register'!AD30</f>
        <v/>
      </c>
    </row>
    <row r="76">
      <c r="A76">
        <f>'Risk Register'!A31</f>
        <v/>
      </c>
      <c r="B76" s="43">
        <f>'Risk Register'!AD31</f>
        <v/>
      </c>
    </row>
    <row r="77">
      <c r="A77">
        <f>'Risk Register'!A32</f>
        <v/>
      </c>
      <c r="B77" s="43">
        <f>'Risk Register'!AD32</f>
        <v/>
      </c>
    </row>
    <row r="78">
      <c r="A78">
        <f>'Risk Register'!A33</f>
        <v/>
      </c>
      <c r="B78" s="43">
        <f>'Risk Register'!AD33</f>
        <v/>
      </c>
    </row>
    <row r="79">
      <c r="A79">
        <f>'Risk Register'!A34</f>
        <v/>
      </c>
      <c r="B79" s="43">
        <f>'Risk Register'!AD34</f>
        <v/>
      </c>
    </row>
    <row r="80">
      <c r="A80">
        <f>'Risk Register'!A35</f>
        <v/>
      </c>
      <c r="B80" s="43">
        <f>'Risk Register'!AD35</f>
        <v/>
      </c>
    </row>
    <row r="81">
      <c r="A81">
        <f>'Risk Register'!A36</f>
        <v/>
      </c>
      <c r="B81" s="43">
        <f>'Risk Register'!AD36</f>
        <v/>
      </c>
    </row>
    <row r="82">
      <c r="A82">
        <f>'Risk Register'!A37</f>
        <v/>
      </c>
      <c r="B82" s="43">
        <f>'Risk Register'!AD37</f>
        <v/>
      </c>
    </row>
    <row r="83">
      <c r="A83">
        <f>'Risk Register'!A38</f>
        <v/>
      </c>
      <c r="B83" s="43">
        <f>'Risk Register'!AD38</f>
        <v/>
      </c>
    </row>
    <row r="84">
      <c r="A84">
        <f>'Risk Register'!A39</f>
        <v/>
      </c>
      <c r="B84" s="43">
        <f>'Risk Register'!AD39</f>
        <v/>
      </c>
    </row>
    <row r="85"/>
    <row r="86"/>
    <row r="87">
      <c r="A87" s="57" t="inlineStr">
        <is>
          <t>Layer</t>
        </is>
      </c>
      <c r="B87" s="57" t="inlineStr">
        <is>
          <t>EMV ($)</t>
        </is>
      </c>
    </row>
    <row r="88">
      <c r="A88" t="inlineStr">
        <is>
          <t>Cost</t>
        </is>
      </c>
      <c r="B88" s="43">
        <f>B5</f>
        <v/>
      </c>
    </row>
    <row r="89">
      <c r="A89" t="inlineStr">
        <is>
          <t>Schedule</t>
        </is>
      </c>
      <c r="B89" s="43">
        <f>B6</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drawing xmlns:r="http://schemas.openxmlformats.org/officeDocument/2006/relationships" r:id="rId1"/>
</worksheet>
</file>

<file path=xl/worksheets/sheet5.xml><?xml version="1.0" encoding="utf-8"?>
<worksheet xmlns="http://schemas.openxmlformats.org/spreadsheetml/2006/main">
  <sheetPr>
    <tabColor rgb="00FCE4B6"/>
    <outlinePr summaryBelow="1" summaryRight="1"/>
    <pageSetUpPr/>
  </sheetPr>
  <dimension ref="A1:N102"/>
  <sheetViews>
    <sheetView workbookViewId="0">
      <pane ySplit="1" topLeftCell="A2" activePane="bottomLeft" state="frozen"/>
      <selection pane="bottomLeft" activeCell="A1" sqref="A1"/>
    </sheetView>
  </sheetViews>
  <sheetFormatPr baseColWidth="8" defaultRowHeight="15"/>
  <cols>
    <col width="8.6" customWidth="1" min="1" max="1"/>
    <col width="9.6" customWidth="1" min="2" max="2"/>
    <col width="10.6" customWidth="1" min="4" max="4"/>
    <col width="9.6" customWidth="1" min="5" max="5"/>
    <col width="34" customWidth="1" min="7" max="7"/>
    <col width="8.6" customWidth="1" min="9" max="9"/>
    <col width="7" customWidth="1" min="10" max="10"/>
    <col width="9.6" customWidth="1" min="11" max="11"/>
    <col width="7" customWidth="1" min="12" max="12"/>
    <col width="20.6" customWidth="1" min="14" max="14"/>
  </cols>
  <sheetData>
    <row r="1" ht="30" customHeight="1">
      <c r="A1" s="57" t="inlineStr">
        <is>
          <t>P-level</t>
        </is>
      </c>
      <c r="B1" s="57" t="inlineStr">
        <is>
          <t>Cost ($)</t>
        </is>
      </c>
      <c r="D1" s="57" t="inlineStr">
        <is>
          <t>Cum. prob</t>
        </is>
      </c>
      <c r="E1" s="57" t="inlineStr">
        <is>
          <t>Cost ($)</t>
        </is>
      </c>
      <c r="G1" s="57" t="inlineStr">
        <is>
          <t>Corr_flag</t>
        </is>
      </c>
      <c r="H1" s="36" t="n"/>
      <c r="I1" s="57" t="inlineStr">
        <is>
          <t>P-level</t>
        </is>
      </c>
      <c r="J1" s="57" t="inlineStr">
        <is>
          <t>rho=0</t>
        </is>
      </c>
      <c r="K1" s="57" t="inlineStr">
        <is>
          <t>elicited</t>
        </is>
      </c>
      <c r="L1" s="57" t="inlineStr">
        <is>
          <t>rho=1</t>
        </is>
      </c>
      <c r="N1" s="57" t="inlineStr">
        <is>
          <t>Contract validation</t>
        </is>
      </c>
    </row>
    <row r="2">
      <c r="A2" s="58" t="n"/>
      <c r="B2" s="59" t="n"/>
      <c r="D2" s="60" t="n"/>
      <c r="E2" s="59" t="n"/>
      <c r="I2" s="58" t="n"/>
      <c r="J2" s="59" t="n"/>
      <c r="K2" s="59" t="n"/>
      <c r="L2" s="59" t="n"/>
      <c r="N2" s="36" t="n"/>
    </row>
    <row r="3">
      <c r="A3" s="58" t="n"/>
      <c r="B3" s="59" t="n"/>
      <c r="D3" s="60" t="n"/>
      <c r="E3" s="59" t="n"/>
      <c r="G3" t="inlineStr">
        <is>
          <t>P80 CI half-width (25k)</t>
        </is>
      </c>
      <c r="H3" s="59" t="n"/>
      <c r="I3" s="58" t="n"/>
      <c r="J3" s="59" t="n"/>
      <c r="K3" s="59" t="n"/>
      <c r="L3" s="59" t="n"/>
      <c r="N3" s="36" t="n"/>
    </row>
    <row r="4">
      <c r="A4" s="58" t="n"/>
      <c r="B4" s="59" t="n"/>
      <c r="D4" s="60" t="n"/>
      <c r="E4" s="59" t="n"/>
      <c r="G4" t="inlineStr">
        <is>
          <t>P80 CI half-width (%)</t>
        </is>
      </c>
      <c r="H4" s="61" t="n"/>
      <c r="I4" s="58" t="n"/>
      <c r="J4" s="59" t="n"/>
      <c r="K4" s="59" t="n"/>
      <c r="L4" s="59" t="n"/>
    </row>
    <row r="5">
      <c r="A5" s="58" t="n"/>
      <c r="B5" s="59" t="n"/>
      <c r="D5" s="60" t="n"/>
      <c r="E5" s="59" t="n"/>
      <c r="I5" s="58" t="n"/>
      <c r="J5" s="59" t="n"/>
      <c r="K5" s="59" t="n"/>
      <c r="L5" s="59" t="n"/>
    </row>
    <row r="6">
      <c r="A6" s="58" t="n"/>
      <c r="B6" s="59" t="n"/>
      <c r="D6" s="60" t="n"/>
      <c r="E6" s="59" t="n"/>
      <c r="G6" s="26" t="inlineStr">
        <is>
          <t>Amber cells are written by the model (xlwings) - do not edit.</t>
        </is>
      </c>
      <c r="I6" s="58" t="n"/>
      <c r="J6" s="59" t="n"/>
      <c r="K6" s="59" t="n"/>
      <c r="L6" s="59" t="n"/>
    </row>
    <row r="7">
      <c r="A7" s="58" t="n"/>
      <c r="B7" s="59" t="n"/>
      <c r="D7" s="60" t="n"/>
      <c r="E7" s="59" t="n"/>
      <c r="I7" s="58" t="n"/>
      <c r="J7" s="59" t="n"/>
      <c r="K7" s="59" t="n"/>
      <c r="L7" s="59" t="n"/>
    </row>
    <row r="8">
      <c r="A8" s="58" t="n"/>
      <c r="B8" s="59" t="n"/>
      <c r="D8" s="60" t="n"/>
      <c r="E8" s="59" t="n"/>
      <c r="I8" s="58" t="n"/>
      <c r="J8" s="59" t="n"/>
      <c r="K8" s="59" t="n"/>
      <c r="L8" s="59" t="n"/>
    </row>
    <row r="9">
      <c r="A9" s="58" t="n"/>
      <c r="B9" s="59" t="n"/>
      <c r="D9" s="60" t="n"/>
      <c r="E9" s="59" t="n"/>
      <c r="I9" s="58" t="n"/>
      <c r="J9" s="59" t="n"/>
      <c r="K9" s="59" t="n"/>
      <c r="L9" s="59" t="n"/>
    </row>
    <row r="10">
      <c r="A10" s="58" t="n"/>
      <c r="B10" s="59" t="n"/>
      <c r="D10" s="60" t="n"/>
      <c r="E10" s="59" t="n"/>
      <c r="I10" s="58" t="n"/>
      <c r="J10" s="59" t="n"/>
      <c r="K10" s="59" t="n"/>
      <c r="L10" s="59" t="n"/>
    </row>
    <row r="11">
      <c r="A11" s="58" t="n"/>
      <c r="B11" s="59" t="n"/>
      <c r="D11" s="60" t="n"/>
      <c r="E11" s="59" t="n"/>
      <c r="I11" s="58" t="n"/>
      <c r="J11" s="59" t="n"/>
      <c r="K11" s="59" t="n"/>
      <c r="L11" s="59" t="n"/>
    </row>
    <row r="12">
      <c r="A12" s="58" t="n"/>
      <c r="B12" s="59" t="n"/>
      <c r="D12" s="60" t="n"/>
      <c r="E12" s="59" t="n"/>
      <c r="I12" s="58" t="n"/>
      <c r="J12" s="59" t="n"/>
      <c r="K12" s="59" t="n"/>
      <c r="L12" s="59" t="n"/>
    </row>
    <row r="13">
      <c r="A13" s="58" t="n"/>
      <c r="B13" s="59" t="n"/>
      <c r="D13" s="60" t="n"/>
      <c r="E13" s="59" t="n"/>
      <c r="I13" s="58" t="n"/>
      <c r="J13" s="59" t="n"/>
      <c r="K13" s="59" t="n"/>
      <c r="L13" s="59" t="n"/>
    </row>
    <row r="14">
      <c r="A14" s="58" t="n"/>
      <c r="B14" s="59" t="n"/>
      <c r="D14" s="60" t="n"/>
      <c r="E14" s="59" t="n"/>
      <c r="I14" s="58" t="n"/>
      <c r="J14" s="59" t="n"/>
      <c r="K14" s="59" t="n"/>
      <c r="L14" s="59" t="n"/>
    </row>
    <row r="15">
      <c r="A15" s="58" t="n"/>
      <c r="B15" s="59" t="n"/>
      <c r="D15" s="60" t="n"/>
      <c r="E15" s="59" t="n"/>
      <c r="I15" s="58" t="n"/>
      <c r="J15" s="59" t="n"/>
      <c r="K15" s="59" t="n"/>
      <c r="L15" s="59" t="n"/>
    </row>
    <row r="16">
      <c r="A16" s="58" t="n"/>
      <c r="B16" s="59" t="n"/>
      <c r="D16" s="60" t="n"/>
      <c r="E16" s="59" t="n"/>
      <c r="I16" s="58" t="n"/>
      <c r="J16" s="59" t="n"/>
      <c r="K16" s="59" t="n"/>
      <c r="L16" s="59" t="n"/>
    </row>
    <row r="17">
      <c r="A17" s="58" t="n"/>
      <c r="B17" s="59" t="n"/>
      <c r="D17" s="60" t="n"/>
      <c r="E17" s="59" t="n"/>
      <c r="I17" s="58" t="n"/>
      <c r="J17" s="59" t="n"/>
      <c r="K17" s="59" t="n"/>
      <c r="L17" s="59" t="n"/>
    </row>
    <row r="18">
      <c r="A18" s="58" t="n"/>
      <c r="B18" s="59" t="n"/>
      <c r="D18" s="60" t="n"/>
      <c r="E18" s="59" t="n"/>
      <c r="I18" s="58" t="n"/>
      <c r="J18" s="59" t="n"/>
      <c r="K18" s="59" t="n"/>
      <c r="L18" s="59" t="n"/>
    </row>
    <row r="19">
      <c r="A19" s="58" t="n"/>
      <c r="B19" s="59" t="n"/>
      <c r="D19" s="60" t="n"/>
      <c r="E19" s="59" t="n"/>
      <c r="I19" s="58" t="n"/>
      <c r="J19" s="59" t="n"/>
      <c r="K19" s="59" t="n"/>
      <c r="L19" s="59" t="n"/>
    </row>
    <row r="20">
      <c r="A20" s="58" t="n"/>
      <c r="B20" s="59" t="n"/>
      <c r="D20" s="60" t="n"/>
      <c r="E20" s="59" t="n"/>
      <c r="I20" s="58" t="n"/>
      <c r="J20" s="59" t="n"/>
      <c r="K20" s="59" t="n"/>
      <c r="L20" s="59" t="n"/>
    </row>
    <row r="21">
      <c r="D21" s="60" t="n"/>
      <c r="E21" s="59" t="n"/>
    </row>
    <row r="22">
      <c r="D22" s="60" t="n"/>
      <c r="E22" s="59" t="n"/>
    </row>
    <row r="23">
      <c r="D23" s="60" t="n"/>
      <c r="E23" s="59" t="n"/>
    </row>
    <row r="24">
      <c r="D24" s="60" t="n"/>
      <c r="E24" s="59" t="n"/>
    </row>
    <row r="25">
      <c r="D25" s="60" t="n"/>
      <c r="E25" s="59" t="n"/>
    </row>
    <row r="26">
      <c r="D26" s="60" t="n"/>
      <c r="E26" s="59" t="n"/>
    </row>
    <row r="27">
      <c r="D27" s="60" t="n"/>
      <c r="E27" s="59" t="n"/>
    </row>
    <row r="28">
      <c r="D28" s="60" t="n"/>
      <c r="E28" s="59" t="n"/>
    </row>
    <row r="29">
      <c r="D29" s="60" t="n"/>
      <c r="E29" s="59" t="n"/>
    </row>
    <row r="30">
      <c r="D30" s="60" t="n"/>
      <c r="E30" s="59" t="n"/>
    </row>
    <row r="31">
      <c r="D31" s="60" t="n"/>
      <c r="E31" s="59" t="n"/>
    </row>
    <row r="32">
      <c r="D32" s="60" t="n"/>
      <c r="E32" s="59" t="n"/>
    </row>
    <row r="33">
      <c r="D33" s="60" t="n"/>
      <c r="E33" s="59" t="n"/>
    </row>
    <row r="34">
      <c r="D34" s="60" t="n"/>
      <c r="E34" s="59" t="n"/>
    </row>
    <row r="35">
      <c r="D35" s="60" t="n"/>
      <c r="E35" s="59" t="n"/>
    </row>
    <row r="36">
      <c r="D36" s="60" t="n"/>
      <c r="E36" s="59" t="n"/>
    </row>
    <row r="37">
      <c r="D37" s="60" t="n"/>
      <c r="E37" s="59" t="n"/>
    </row>
    <row r="38">
      <c r="D38" s="60" t="n"/>
      <c r="E38" s="59" t="n"/>
    </row>
    <row r="39">
      <c r="D39" s="60" t="n"/>
      <c r="E39" s="59" t="n"/>
    </row>
    <row r="40">
      <c r="D40" s="60" t="n"/>
      <c r="E40" s="59" t="n"/>
    </row>
    <row r="41">
      <c r="D41" s="60" t="n"/>
      <c r="E41" s="59" t="n"/>
    </row>
    <row r="42">
      <c r="D42" s="60" t="n"/>
      <c r="E42" s="59" t="n"/>
    </row>
    <row r="43">
      <c r="D43" s="60" t="n"/>
      <c r="E43" s="59" t="n"/>
    </row>
    <row r="44">
      <c r="D44" s="60" t="n"/>
      <c r="E44" s="59" t="n"/>
    </row>
    <row r="45">
      <c r="D45" s="60" t="n"/>
      <c r="E45" s="59" t="n"/>
    </row>
    <row r="46">
      <c r="D46" s="60" t="n"/>
      <c r="E46" s="59" t="n"/>
    </row>
    <row r="47">
      <c r="D47" s="60" t="n"/>
      <c r="E47" s="59" t="n"/>
    </row>
    <row r="48">
      <c r="D48" s="60" t="n"/>
      <c r="E48" s="59" t="n"/>
    </row>
    <row r="49">
      <c r="D49" s="60" t="n"/>
      <c r="E49" s="59" t="n"/>
    </row>
    <row r="50">
      <c r="D50" s="60" t="n"/>
      <c r="E50" s="59" t="n"/>
    </row>
    <row r="51">
      <c r="D51" s="60" t="n"/>
      <c r="E51" s="59" t="n"/>
    </row>
    <row r="52">
      <c r="D52" s="60" t="n"/>
      <c r="E52" s="59" t="n"/>
    </row>
    <row r="53">
      <c r="D53" s="60" t="n"/>
      <c r="E53" s="59" t="n"/>
    </row>
    <row r="54">
      <c r="D54" s="60" t="n"/>
      <c r="E54" s="59" t="n"/>
    </row>
    <row r="55">
      <c r="D55" s="60" t="n"/>
      <c r="E55" s="59" t="n"/>
    </row>
    <row r="56">
      <c r="D56" s="60" t="n"/>
      <c r="E56" s="59" t="n"/>
    </row>
    <row r="57">
      <c r="D57" s="60" t="n"/>
      <c r="E57" s="59" t="n"/>
    </row>
    <row r="58">
      <c r="D58" s="60" t="n"/>
      <c r="E58" s="59" t="n"/>
    </row>
    <row r="59">
      <c r="D59" s="60" t="n"/>
      <c r="E59" s="59" t="n"/>
    </row>
    <row r="60">
      <c r="D60" s="60" t="n"/>
      <c r="E60" s="59" t="n"/>
    </row>
    <row r="61">
      <c r="D61" s="60" t="n"/>
      <c r="E61" s="59" t="n"/>
    </row>
    <row r="62">
      <c r="D62" s="60" t="n"/>
      <c r="E62" s="59" t="n"/>
    </row>
    <row r="63">
      <c r="D63" s="60" t="n"/>
      <c r="E63" s="59" t="n"/>
    </row>
    <row r="64">
      <c r="D64" s="60" t="n"/>
      <c r="E64" s="59" t="n"/>
    </row>
    <row r="65">
      <c r="D65" s="60" t="n"/>
      <c r="E65" s="59" t="n"/>
    </row>
    <row r="66">
      <c r="D66" s="60" t="n"/>
      <c r="E66" s="59" t="n"/>
    </row>
    <row r="67">
      <c r="D67" s="60" t="n"/>
      <c r="E67" s="59" t="n"/>
    </row>
    <row r="68">
      <c r="D68" s="60" t="n"/>
      <c r="E68" s="59" t="n"/>
    </row>
    <row r="69">
      <c r="D69" s="60" t="n"/>
      <c r="E69" s="59" t="n"/>
    </row>
    <row r="70">
      <c r="D70" s="60" t="n"/>
      <c r="E70" s="59" t="n"/>
    </row>
    <row r="71">
      <c r="D71" s="60" t="n"/>
      <c r="E71" s="59" t="n"/>
    </row>
    <row r="72">
      <c r="D72" s="60" t="n"/>
      <c r="E72" s="59" t="n"/>
    </row>
    <row r="73">
      <c r="D73" s="60" t="n"/>
      <c r="E73" s="59" t="n"/>
    </row>
    <row r="74">
      <c r="D74" s="60" t="n"/>
      <c r="E74" s="59" t="n"/>
    </row>
    <row r="75">
      <c r="D75" s="60" t="n"/>
      <c r="E75" s="59" t="n"/>
    </row>
    <row r="76">
      <c r="D76" s="60" t="n"/>
      <c r="E76" s="59" t="n"/>
    </row>
    <row r="77">
      <c r="D77" s="60" t="n"/>
      <c r="E77" s="59" t="n"/>
    </row>
    <row r="78">
      <c r="D78" s="60" t="n"/>
      <c r="E78" s="59" t="n"/>
    </row>
    <row r="79">
      <c r="D79" s="60" t="n"/>
      <c r="E79" s="59" t="n"/>
    </row>
    <row r="80">
      <c r="D80" s="60" t="n"/>
      <c r="E80" s="59" t="n"/>
    </row>
    <row r="81">
      <c r="D81" s="60" t="n"/>
      <c r="E81" s="59" t="n"/>
    </row>
    <row r="82">
      <c r="D82" s="60" t="n"/>
      <c r="E82" s="59" t="n"/>
    </row>
    <row r="83">
      <c r="D83" s="60" t="n"/>
      <c r="E83" s="59" t="n"/>
    </row>
    <row r="84">
      <c r="D84" s="60" t="n"/>
      <c r="E84" s="59" t="n"/>
    </row>
    <row r="85">
      <c r="D85" s="60" t="n"/>
      <c r="E85" s="59" t="n"/>
    </row>
    <row r="86">
      <c r="D86" s="60" t="n"/>
      <c r="E86" s="59" t="n"/>
    </row>
    <row r="87">
      <c r="D87" s="60" t="n"/>
      <c r="E87" s="59" t="n"/>
    </row>
    <row r="88">
      <c r="D88" s="60" t="n"/>
      <c r="E88" s="59" t="n"/>
    </row>
    <row r="89">
      <c r="D89" s="60" t="n"/>
      <c r="E89" s="59" t="n"/>
    </row>
    <row r="90">
      <c r="D90" s="60" t="n"/>
      <c r="E90" s="59" t="n"/>
    </row>
    <row r="91">
      <c r="D91" s="60" t="n"/>
      <c r="E91" s="59" t="n"/>
    </row>
    <row r="92">
      <c r="D92" s="60" t="n"/>
      <c r="E92" s="59" t="n"/>
    </row>
    <row r="93">
      <c r="D93" s="60" t="n"/>
      <c r="E93" s="59" t="n"/>
    </row>
    <row r="94">
      <c r="D94" s="60" t="n"/>
      <c r="E94" s="59" t="n"/>
    </row>
    <row r="95">
      <c r="D95" s="60" t="n"/>
      <c r="E95" s="59" t="n"/>
    </row>
    <row r="96">
      <c r="D96" s="60" t="n"/>
      <c r="E96" s="59" t="n"/>
    </row>
    <row r="97">
      <c r="D97" s="60" t="n"/>
      <c r="E97" s="59" t="n"/>
    </row>
    <row r="98">
      <c r="D98" s="60" t="n"/>
      <c r="E98" s="59" t="n"/>
    </row>
    <row r="99">
      <c r="D99" s="60" t="n"/>
      <c r="E99" s="59" t="n"/>
    </row>
    <row r="100">
      <c r="D100" s="60" t="n"/>
      <c r="E100" s="59" t="n"/>
    </row>
    <row r="101">
      <c r="D101" s="60" t="n"/>
      <c r="E101" s="59" t="n"/>
    </row>
    <row r="102">
      <c r="D102" s="60" t="n"/>
      <c r="E102" s="59"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tabColor rgb="00A5A5A5"/>
    <outlinePr summaryBelow="1" summaryRight="1"/>
    <pageSetUpPr/>
  </sheetPr>
  <dimension ref="A1:J16"/>
  <sheetViews>
    <sheetView showGridLines="0" workbookViewId="0">
      <selection activeCell="A1" sqref="A1"/>
    </sheetView>
  </sheetViews>
  <sheetFormatPr baseColWidth="8" defaultRowHeight="15"/>
  <cols>
    <col width="13.6" customWidth="1" min="1" max="1"/>
    <col width="10.6" customWidth="1" min="2" max="2"/>
    <col width="11.6" customWidth="1" min="3" max="3"/>
    <col width="11.6" customWidth="1" min="4" max="4"/>
    <col width="9.6" customWidth="1" min="5" max="5"/>
    <col width="7.6" customWidth="1" min="6" max="6"/>
    <col width="14.6" customWidth="1" min="7" max="7"/>
    <col width="18.6" customWidth="1" min="8" max="8"/>
    <col width="16.6" customWidth="1" min="9" max="9"/>
    <col width="11.6" customWidth="1" min="10" max="10"/>
  </cols>
  <sheetData>
    <row r="1">
      <c r="A1" s="62" t="inlineStr">
        <is>
          <t>Cascade lists - edit here; the Risk Register dropdowns follow.</t>
        </is>
      </c>
    </row>
    <row r="2" ht="26" customHeight="1">
      <c r="A2" s="57" t="inlineStr">
        <is>
          <t>Distribution</t>
        </is>
      </c>
      <c r="B2" s="57" t="inlineStr">
        <is>
          <t>MCInclude</t>
        </is>
      </c>
      <c r="C2" s="57" t="inlineStr">
        <is>
          <t>TimeImpact</t>
        </is>
      </c>
      <c r="D2" s="57" t="inlineStr">
        <is>
          <t>Recurrence</t>
        </is>
      </c>
      <c r="E2" s="57" t="inlineStr">
        <is>
          <t>Mode</t>
        </is>
      </c>
      <c r="F2" s="57" t="inlineStr">
        <is>
          <t>CGCode</t>
        </is>
      </c>
      <c r="G2" s="57" t="inlineStr">
        <is>
          <t>RBS_L1</t>
        </is>
      </c>
      <c r="H2" s="57" t="inlineStr">
        <is>
          <t>RBS_L2</t>
        </is>
      </c>
      <c r="I2" s="57" t="inlineStr">
        <is>
          <t>Package</t>
        </is>
      </c>
      <c r="J2" s="57" t="inlineStr">
        <is>
          <t>Factor</t>
        </is>
      </c>
    </row>
    <row r="3">
      <c r="A3" s="22" t="inlineStr">
        <is>
          <t>PERT</t>
        </is>
      </c>
      <c r="B3" s="22" t="inlineStr">
        <is>
          <t>Yes</t>
        </is>
      </c>
      <c r="C3" s="22" t="inlineStr">
        <is>
          <t>Yes</t>
        </is>
      </c>
      <c r="D3" s="22" t="inlineStr">
        <is>
          <t>Single</t>
        </is>
      </c>
      <c r="E3" s="22" t="inlineStr">
        <is>
          <t>Series</t>
        </is>
      </c>
      <c r="F3" s="22" t="inlineStr">
        <is>
          <t>CG01</t>
        </is>
      </c>
      <c r="G3" s="22" t="inlineStr">
        <is>
          <t>Technical</t>
        </is>
      </c>
      <c r="H3" s="22" t="inlineStr">
        <is>
          <t>Design</t>
        </is>
      </c>
      <c r="I3" s="22" t="inlineStr">
        <is>
          <t>Civil</t>
        </is>
      </c>
      <c r="J3" s="22" t="inlineStr">
        <is>
          <t>Provisions</t>
        </is>
      </c>
    </row>
    <row r="4">
      <c r="A4" s="22" t="inlineStr">
        <is>
          <t>Triangular</t>
        </is>
      </c>
      <c r="B4" s="22" t="inlineStr">
        <is>
          <t>No</t>
        </is>
      </c>
      <c r="C4" s="22" t="inlineStr">
        <is>
          <t>No</t>
        </is>
      </c>
      <c r="D4" s="22" t="inlineStr">
        <is>
          <t>Recurring</t>
        </is>
      </c>
      <c r="E4" s="22" t="inlineStr">
        <is>
          <t>Hybrid</t>
        </is>
      </c>
      <c r="F4" s="22" t="inlineStr">
        <is>
          <t>CG02</t>
        </is>
      </c>
      <c r="G4" s="22" t="inlineStr">
        <is>
          <t>Commercial</t>
        </is>
      </c>
      <c r="H4" s="22" t="inlineStr">
        <is>
          <t>Construction</t>
        </is>
      </c>
      <c r="I4" s="22" t="inlineStr">
        <is>
          <t>Structural</t>
        </is>
      </c>
      <c r="J4" s="22" t="inlineStr">
        <is>
          <t>Duration</t>
        </is>
      </c>
    </row>
    <row r="5">
      <c r="A5" s="22" t="inlineStr">
        <is>
          <t>Lognormal</t>
        </is>
      </c>
      <c r="D5" s="22" t="inlineStr">
        <is>
          <t>None</t>
        </is>
      </c>
      <c r="E5" s="22" t="inlineStr">
        <is>
          <t>Parallel</t>
        </is>
      </c>
      <c r="F5" s="22" t="inlineStr">
        <is>
          <t>CG03</t>
        </is>
      </c>
      <c r="G5" s="22" t="inlineStr">
        <is>
          <t>Management</t>
        </is>
      </c>
      <c r="H5" s="22" t="inlineStr">
        <is>
          <t>Procurement</t>
        </is>
      </c>
      <c r="I5" s="22" t="inlineStr">
        <is>
          <t>Mechanical</t>
        </is>
      </c>
      <c r="J5" s="22" t="inlineStr">
        <is>
          <t>Q_Civils</t>
        </is>
      </c>
    </row>
    <row r="6">
      <c r="A6" s="22" t="inlineStr">
        <is>
          <t>Binary</t>
        </is>
      </c>
      <c r="F6" s="22" t="inlineStr">
        <is>
          <t>CG04</t>
        </is>
      </c>
      <c r="G6" s="22" t="inlineStr">
        <is>
          <t>External</t>
        </is>
      </c>
      <c r="H6" s="22" t="inlineStr">
        <is>
          <t>Interface</t>
        </is>
      </c>
      <c r="I6" s="22" t="inlineStr">
        <is>
          <t>Electrical</t>
        </is>
      </c>
      <c r="J6" s="22" t="inlineStr">
        <is>
          <t>Q_Elec</t>
        </is>
      </c>
    </row>
    <row r="7">
      <c r="A7" s="22" t="inlineStr">
        <is>
          <t>Binary/PERT</t>
        </is>
      </c>
      <c r="F7" s="22" t="inlineStr">
        <is>
          <t>CG05</t>
        </is>
      </c>
      <c r="G7" s="22" t="inlineStr">
        <is>
          <t>Environmental</t>
        </is>
      </c>
      <c r="H7" s="22" t="inlineStr">
        <is>
          <t>Approvals</t>
        </is>
      </c>
      <c r="I7" s="22" t="inlineStr">
        <is>
          <t>Piping</t>
        </is>
      </c>
      <c r="J7" s="22" t="inlineStr">
        <is>
          <t>Q_Grid</t>
        </is>
      </c>
    </row>
    <row r="8">
      <c r="F8" s="22" t="inlineStr">
        <is>
          <t>CG06</t>
        </is>
      </c>
      <c r="G8" s="22" t="inlineStr">
        <is>
          <t>Delivery</t>
        </is>
      </c>
      <c r="H8" s="22" t="inlineStr">
        <is>
          <t>Weather</t>
        </is>
      </c>
      <c r="I8" s="22" t="inlineStr">
        <is>
          <t>Instrumentation</t>
        </is>
      </c>
      <c r="J8" s="22" t="inlineStr">
        <is>
          <t>R_Turbine</t>
        </is>
      </c>
    </row>
    <row r="9">
      <c r="F9" s="22" t="inlineStr">
        <is>
          <t>CG07</t>
        </is>
      </c>
      <c r="H9" s="22" t="inlineStr">
        <is>
          <t>Ground Conditions</t>
        </is>
      </c>
      <c r="I9" s="22" t="inlineStr">
        <is>
          <t>Commissioning</t>
        </is>
      </c>
      <c r="J9" s="22" t="inlineStr">
        <is>
          <t>FX</t>
        </is>
      </c>
    </row>
    <row r="10">
      <c r="F10" s="22" t="inlineStr">
        <is>
          <t>CG08</t>
        </is>
      </c>
      <c r="H10" s="22" t="inlineStr">
        <is>
          <t>Commissioning</t>
        </is>
      </c>
      <c r="I10" s="22" t="inlineStr">
        <is>
          <t>Management</t>
        </is>
      </c>
      <c r="J10" s="22" t="inlineStr">
        <is>
          <t>R_Concrete</t>
        </is>
      </c>
    </row>
    <row r="11">
      <c r="F11" s="22" t="inlineStr">
        <is>
          <t>CG09</t>
        </is>
      </c>
      <c r="J11" s="22" t="inlineStr">
        <is>
          <t>R_Steel</t>
        </is>
      </c>
    </row>
    <row r="12">
      <c r="F12" s="22" t="inlineStr">
        <is>
          <t>CG10</t>
        </is>
      </c>
      <c r="J12" s="22" t="inlineStr">
        <is>
          <t>R_General</t>
        </is>
      </c>
    </row>
    <row r="13">
      <c r="F13" s="22" t="inlineStr">
        <is>
          <t>CG11</t>
        </is>
      </c>
      <c r="J13" s="22" t="inlineStr">
        <is>
          <t>R_Plant</t>
        </is>
      </c>
    </row>
    <row r="14">
      <c r="F14" s="22" t="inlineStr">
        <is>
          <t>CG12</t>
        </is>
      </c>
      <c r="J14" s="22" t="inlineStr">
        <is>
          <t>R_Subcon</t>
        </is>
      </c>
    </row>
    <row r="15">
      <c r="F15" s="22" t="inlineStr">
        <is>
          <t>CG13</t>
        </is>
      </c>
      <c r="J15" s="22" t="inlineStr">
        <is>
          <t>R_Staff</t>
        </is>
      </c>
    </row>
    <row r="16">
      <c r="J16" s="22" t="inlineStr">
        <is>
          <t>R_Labour</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7.xml><?xml version="1.0" encoding="utf-8"?>
<worksheet xmlns="http://schemas.openxmlformats.org/spreadsheetml/2006/main">
  <sheetPr>
    <tabColor rgb="00A5A5A5"/>
    <outlinePr summaryBelow="1" summaryRight="1"/>
    <pageSetUpPr/>
  </sheetPr>
  <dimension ref="A1:F11"/>
  <sheetViews>
    <sheetView workbookViewId="0">
      <selection activeCell="A1" sqref="A1"/>
    </sheetView>
  </sheetViews>
  <sheetFormatPr baseColWidth="8" defaultRowHeight="15"/>
  <cols>
    <col width="8.6" customWidth="1" min="1" max="1"/>
    <col width="11.6" customWidth="1" min="2" max="2"/>
    <col width="12.6" customWidth="1" min="3" max="3"/>
    <col width="15.6" customWidth="1" min="4" max="4"/>
    <col width="19.6" customWidth="1" min="5" max="5"/>
    <col width="17.6" customWidth="1" min="6" max="6"/>
  </cols>
  <sheetData>
    <row r="1" ht="28" customHeight="1">
      <c r="A1" s="51" t="inlineStr">
        <is>
          <t>Risk ID</t>
        </is>
      </c>
      <c r="B1" s="51" t="inlineStr">
        <is>
          <t>Pattern_ID</t>
        </is>
      </c>
      <c r="C1" s="51" t="inlineStr">
        <is>
          <t>Prefix_List</t>
        </is>
      </c>
      <c r="D1" s="51" t="inlineStr">
        <is>
          <t>Activity_Count</t>
        </is>
      </c>
      <c r="E1" s="51" t="inlineStr">
        <is>
          <t>Gating_Activity_ID</t>
        </is>
      </c>
      <c r="F1" s="8" t="inlineStr">
        <is>
          <t>Injection_Method</t>
        </is>
      </c>
    </row>
    <row r="2">
      <c r="A2" s="8" t="inlineStr">
        <is>
          <t>WT-001</t>
        </is>
      </c>
      <c r="B2" s="8" t="inlineStr">
        <is>
          <t>P-WT-001</t>
        </is>
      </c>
      <c r="C2" s="8" t="inlineStr">
        <is>
          <t>20.A</t>
        </is>
      </c>
      <c r="D2" s="8" t="n">
        <v>11</v>
      </c>
      <c r="E2" s="8" t="inlineStr">
        <is>
          <t>20.G.001</t>
        </is>
      </c>
      <c r="F2" s="8" t="n"/>
    </row>
    <row r="3">
      <c r="A3" s="8" t="inlineStr">
        <is>
          <t>WT-002</t>
        </is>
      </c>
      <c r="B3" s="8" t="inlineStr">
        <is>
          <t>P-WT-002</t>
        </is>
      </c>
      <c r="C3" s="8" t="inlineStr">
        <is>
          <t>10.G.001</t>
        </is>
      </c>
      <c r="D3" s="8" t="n">
        <v>1</v>
      </c>
      <c r="E3" s="8" t="inlineStr">
        <is>
          <t>10.G.001</t>
        </is>
      </c>
      <c r="F3" s="8" t="n"/>
    </row>
    <row r="4">
      <c r="A4" s="8" t="inlineStr">
        <is>
          <t>WT-008</t>
        </is>
      </c>
      <c r="B4" s="8" t="inlineStr">
        <is>
          <t>P-WT-008</t>
        </is>
      </c>
      <c r="C4" s="8" t="inlineStr">
        <is>
          <t>30.A</t>
        </is>
      </c>
      <c r="D4" s="8" t="n">
        <v>11</v>
      </c>
      <c r="E4" s="8" t="inlineStr">
        <is>
          <t>30.G.001</t>
        </is>
      </c>
      <c r="F4" s="8" t="n"/>
    </row>
    <row r="5">
      <c r="A5" s="8" t="inlineStr">
        <is>
          <t>WT-009</t>
        </is>
      </c>
      <c r="B5" s="8" t="inlineStr">
        <is>
          <t>P-WT-009</t>
        </is>
      </c>
      <c r="C5" s="8" t="inlineStr">
        <is>
          <t>30.G.002</t>
        </is>
      </c>
      <c r="D5" s="8" t="n">
        <v>1</v>
      </c>
      <c r="E5" s="8" t="inlineStr">
        <is>
          <t>30.G.002</t>
        </is>
      </c>
      <c r="F5" s="8" t="n"/>
    </row>
    <row r="6">
      <c r="A6" s="8" t="inlineStr">
        <is>
          <t>WT-020</t>
        </is>
      </c>
      <c r="B6" s="8" t="inlineStr">
        <is>
          <t>P-WT-020</t>
        </is>
      </c>
      <c r="C6" s="8" t="inlineStr">
        <is>
          <t>40.C</t>
        </is>
      </c>
      <c r="D6" s="8" t="n">
        <v>10</v>
      </c>
      <c r="E6" s="8" t="inlineStr">
        <is>
          <t>40.G.001</t>
        </is>
      </c>
      <c r="F6" s="8" t="n"/>
    </row>
    <row r="7">
      <c r="A7" s="8" t="inlineStr">
        <is>
          <t>WT-021</t>
        </is>
      </c>
      <c r="B7" s="8" t="inlineStr">
        <is>
          <t>P-WT-021</t>
        </is>
      </c>
      <c r="C7" s="8" t="inlineStr">
        <is>
          <t>50.G.001</t>
        </is>
      </c>
      <c r="D7" s="8" t="n">
        <v>1</v>
      </c>
      <c r="E7" s="8" t="inlineStr">
        <is>
          <t>50.G.001</t>
        </is>
      </c>
      <c r="F7" s="8" t="n"/>
    </row>
    <row r="8">
      <c r="A8" s="8" t="inlineStr">
        <is>
          <t>WT-026</t>
        </is>
      </c>
      <c r="B8" s="8" t="inlineStr">
        <is>
          <t>P-WT-026</t>
        </is>
      </c>
      <c r="C8" s="8" t="inlineStr">
        <is>
          <t>50.G.002</t>
        </is>
      </c>
      <c r="D8" s="8" t="n">
        <v>1</v>
      </c>
      <c r="E8" s="8" t="inlineStr">
        <is>
          <t>50.G.002</t>
        </is>
      </c>
      <c r="F8" s="8" t="n"/>
    </row>
    <row r="9">
      <c r="A9" s="8" t="inlineStr">
        <is>
          <t>WT-027</t>
        </is>
      </c>
      <c r="B9" s="8" t="inlineStr">
        <is>
          <t>P-WT-027</t>
        </is>
      </c>
      <c r="C9" s="8" t="inlineStr">
        <is>
          <t>50.G.003</t>
        </is>
      </c>
      <c r="D9" s="8" t="n">
        <v>1</v>
      </c>
      <c r="E9" s="8" t="inlineStr">
        <is>
          <t>50.G.003</t>
        </is>
      </c>
      <c r="F9" s="8" t="n"/>
    </row>
    <row r="10">
      <c r="A10" s="8" t="inlineStr">
        <is>
          <t>WT-031</t>
        </is>
      </c>
      <c r="B10" s="8" t="inlineStr">
        <is>
          <t>P-WT-031</t>
        </is>
      </c>
      <c r="C10" s="8" t="inlineStr">
        <is>
          <t>60.A</t>
        </is>
      </c>
      <c r="D10" s="8" t="n">
        <v>11</v>
      </c>
      <c r="E10" s="8" t="inlineStr">
        <is>
          <t>60.G.001</t>
        </is>
      </c>
      <c r="F10" s="8" t="n"/>
    </row>
    <row r="11">
      <c r="A11" s="8" t="inlineStr">
        <is>
          <t>WT-032</t>
        </is>
      </c>
      <c r="B11" s="8" t="inlineStr">
        <is>
          <t>P-WT-032</t>
        </is>
      </c>
      <c r="C11" s="8" t="inlineStr">
        <is>
          <t>60.B</t>
        </is>
      </c>
      <c r="D11" s="8" t="n">
        <v>10</v>
      </c>
      <c r="E11" s="8" t="inlineStr">
        <is>
          <t>60.G.002</t>
        </is>
      </c>
      <c r="F11" s="8" t="n"/>
    </row>
  </sheetData>
  <sheetProtection selectLockedCells="0" selectUnlockedCells="0" sheet="1" objects="0" insertRows="0" insertHyperlinks="1" autoFilter="0" scenarios="0" formatColumns="1" deleteColumns="1" insertColumns="1" pivotTables="1" deleteRows="1" formatCells="1" formatRows="1" sort="0"/>
  <pageMargins left="0.75" right="0.75" top="1" bottom="1" header="0.5" footer="0.5"/>
</worksheet>
</file>

<file path=xl/worksheets/sheet8.xml><?xml version="1.0" encoding="utf-8"?>
<worksheet xmlns="http://schemas.openxmlformats.org/spreadsheetml/2006/main">
  <sheetPr>
    <tabColor rgb="008EA9DB"/>
    <outlinePr summaryBelow="1" summaryRight="1"/>
    <pageSetUpPr/>
  </sheetPr>
  <dimension ref="A1:C31"/>
  <sheetViews>
    <sheetView workbookViewId="0">
      <selection activeCell="A1" sqref="A1"/>
    </sheetView>
  </sheetViews>
  <sheetFormatPr baseColWidth="8" defaultRowHeight="15"/>
  <cols>
    <col width="40" customWidth="1" min="2" max="2"/>
    <col width="11.6" customWidth="1" min="3" max="3"/>
  </cols>
  <sheetData>
    <row r="1">
      <c r="B1" s="62" t="inlineStr">
        <is>
          <t>MC_Params (legacy VBA config surface - Settings is the LIVE one)</t>
        </is>
      </c>
    </row>
    <row r="2">
      <c r="B2" t="inlineStr">
        <is>
          <t>Iterations (n)</t>
        </is>
      </c>
      <c r="C2" s="63" t="n">
        <v>50000</v>
      </c>
    </row>
    <row r="3">
      <c r="B3" t="inlineStr">
        <is>
          <t>Random seed - legacy cost MC only (0=random; the deliverable's seed is SR9_SEED)</t>
        </is>
      </c>
      <c r="C3" s="63" t="n">
        <v>42</v>
      </c>
    </row>
    <row r="4">
      <c r="B4" t="inlineStr">
        <is>
          <t>Stakeholder view</t>
        </is>
      </c>
      <c r="C4" s="23" t="inlineStr">
        <is>
          <t>All</t>
        </is>
      </c>
    </row>
    <row r="5">
      <c r="B5" t="inlineStr">
        <is>
          <t>Reporting P-Level (pct)</t>
        </is>
      </c>
      <c r="C5" s="64" t="n">
        <v>80</v>
      </c>
    </row>
    <row r="6">
      <c r="B6" t="inlineStr">
        <is>
          <t>TIC - Total Installed Cost ($)</t>
        </is>
      </c>
      <c r="C6" s="65" t="n">
        <v>50000000</v>
      </c>
    </row>
    <row r="7">
      <c r="B7" t="inlineStr">
        <is>
          <t>Cascade enabled</t>
        </is>
      </c>
      <c r="C7" s="23" t="n">
        <v>1</v>
      </c>
    </row>
    <row r="8">
      <c r="B8" t="inlineStr">
        <is>
          <t>Cascade slip rate</t>
        </is>
      </c>
      <c r="C8" s="23" t="n">
        <v>1.5</v>
      </c>
    </row>
    <row r="9">
      <c r="B9" t="inlineStr">
        <is>
          <t>Cascade slip cap</t>
        </is>
      </c>
      <c r="C9" s="23" t="n">
        <v>3</v>
      </c>
    </row>
    <row r="10">
      <c r="B10" t="inlineStr">
        <is>
          <t>Cascade cost scale</t>
        </is>
      </c>
      <c r="C10" s="23" t="n">
        <v>0.5</v>
      </c>
    </row>
    <row r="11">
      <c r="B11" t="inlineStr">
        <is>
          <t>Chain 1 trigger - planning delay (months)</t>
        </is>
      </c>
      <c r="C11" s="23" t="n">
        <v>3</v>
      </c>
    </row>
    <row r="12">
      <c r="B12" t="inlineStr">
        <is>
          <t>Chain 1 - weather amplification factor</t>
        </is>
      </c>
      <c r="C12" s="23" t="n">
        <v>2.5</v>
      </c>
    </row>
    <row r="13">
      <c r="B13" t="inlineStr">
        <is>
          <t>Chain 2 trigger - site estab delay (weeks)</t>
        </is>
      </c>
      <c r="C13" s="23" t="n">
        <v>2</v>
      </c>
    </row>
    <row r="14">
      <c r="B14" t="inlineStr">
        <is>
          <t>Chain 2 - cascade factor</t>
        </is>
      </c>
      <c r="C14" s="23" t="n">
        <v>1.5</v>
      </c>
    </row>
    <row r="15">
      <c r="B15" t="inlineStr">
        <is>
          <t>day_rate ($/wd)</t>
        </is>
      </c>
      <c r="C15" s="66" t="n">
        <v>35000</v>
      </c>
    </row>
    <row r="16">
      <c r="B16" t="inlineStr">
        <is>
          <t>programme_seasons</t>
        </is>
      </c>
      <c r="C16" s="23" t="n">
        <v>1</v>
      </c>
    </row>
    <row r="17">
      <c r="B17" t="inlineStr">
        <is>
          <t>cp_hybrid_float_threshold_days</t>
        </is>
      </c>
      <c r="C17" s="23" t="n">
        <v>20</v>
      </c>
    </row>
    <row r="18">
      <c r="B18" t="inlineStr">
        <is>
          <t>schedule duration (weeks)</t>
        </is>
      </c>
      <c r="C18" s="23" t="n">
        <v>90</v>
      </c>
    </row>
    <row r="19">
      <c r="B19" t="inlineStr">
        <is>
          <t>expected_time_yes_count</t>
        </is>
      </c>
      <c r="C19" s="23" t="n">
        <v>10</v>
      </c>
    </row>
    <row r="20">
      <c r="B20" t="inlineStr">
        <is>
          <t>CG01 - Civil &amp; Earthworks</t>
        </is>
      </c>
      <c r="C20" s="67" t="n">
        <v>0.6</v>
      </c>
    </row>
    <row r="21">
      <c r="B21" t="inlineStr">
        <is>
          <t>CG01 capex base ($)</t>
        </is>
      </c>
      <c r="C21" s="65" t="n">
        <v>9000000</v>
      </c>
    </row>
    <row r="22">
      <c r="B22" t="inlineStr">
        <is>
          <t>CG02 - Turbine Supply &amp; Erection</t>
        </is>
      </c>
      <c r="C22" s="67" t="n">
        <v>0.5</v>
      </c>
    </row>
    <row r="23">
      <c r="B23" t="inlineStr">
        <is>
          <t>CG02 capex base ($)</t>
        </is>
      </c>
      <c r="C23" s="65" t="n">
        <v>22000000</v>
      </c>
    </row>
    <row r="24">
      <c r="B24" t="inlineStr">
        <is>
          <t>CG03 - Electrical Reticulation</t>
        </is>
      </c>
      <c r="C24" s="67" t="n">
        <v>0.5</v>
      </c>
    </row>
    <row r="25">
      <c r="B25" t="inlineStr">
        <is>
          <t>CG03 capex base ($)</t>
        </is>
      </c>
      <c r="C25" s="65" t="n">
        <v>5000000</v>
      </c>
    </row>
    <row r="26">
      <c r="B26" t="inlineStr">
        <is>
          <t>CG04 - Grid Connection</t>
        </is>
      </c>
      <c r="C26" s="67" t="n">
        <v>0.4</v>
      </c>
    </row>
    <row r="27">
      <c r="B27" t="inlineStr">
        <is>
          <t>CG04 capex base ($)</t>
        </is>
      </c>
      <c r="C27" s="65" t="n">
        <v>5000000</v>
      </c>
    </row>
    <row r="28">
      <c r="B28" t="inlineStr">
        <is>
          <t>CG05 - Balance of Plant / Substation</t>
        </is>
      </c>
      <c r="C28" s="67" t="n">
        <v>0.5</v>
      </c>
    </row>
    <row r="29">
      <c r="B29" t="inlineStr">
        <is>
          <t>CG05 capex base ($)</t>
        </is>
      </c>
      <c r="C29" s="65" t="n">
        <v>6000000</v>
      </c>
    </row>
    <row r="30">
      <c r="B30" t="inlineStr">
        <is>
          <t>CG06 - Commissioning &amp; Controls</t>
        </is>
      </c>
      <c r="C30" s="67" t="n">
        <v>0.4</v>
      </c>
    </row>
    <row r="31">
      <c r="B31" t="inlineStr">
        <is>
          <t>CG06 capex base ($)</t>
        </is>
      </c>
      <c r="C31" s="65" t="n">
        <v>3000000</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tabColor rgb="008EA9DB"/>
    <outlinePr summaryBelow="1" summaryRight="1"/>
    <pageSetUpPr/>
  </sheetPr>
  <dimension ref="A1:C23"/>
  <sheetViews>
    <sheetView workbookViewId="0">
      <selection activeCell="A1" sqref="A1"/>
    </sheetView>
  </sheetViews>
  <sheetFormatPr baseColWidth="8" defaultRowHeight="15"/>
  <cols>
    <col width="34" customWidth="1" min="1" max="1"/>
    <col width="29.6" customWidth="1" min="2" max="2"/>
    <col width="34" customWidth="1" min="3" max="3"/>
  </cols>
  <sheetData>
    <row r="1" ht="28" customHeight="1">
      <c r="A1" s="51" t="inlineStr">
        <is>
          <t>CG code / Mode</t>
        </is>
      </c>
      <c r="B1" s="51" t="inlineStr">
        <is>
          <t>Coefficient / Multiplier</t>
        </is>
      </c>
      <c r="C1" s="51" t="inlineStr">
        <is>
          <t>Description</t>
        </is>
      </c>
    </row>
    <row r="2">
      <c r="A2" s="8" t="inlineStr">
        <is>
          <t>CG01</t>
        </is>
      </c>
      <c r="B2" s="31" t="n">
        <v>0.6</v>
      </c>
      <c r="C2" s="9" t="inlineStr">
        <is>
          <t>Civil &amp; Earthworks</t>
        </is>
      </c>
    </row>
    <row r="3">
      <c r="A3" s="8" t="inlineStr">
        <is>
          <t>CG02</t>
        </is>
      </c>
      <c r="B3" s="31" t="n">
        <v>0.5</v>
      </c>
      <c r="C3" s="9" t="inlineStr">
        <is>
          <t>Turbine Supply &amp; Erection</t>
        </is>
      </c>
    </row>
    <row r="4">
      <c r="A4" s="8" t="inlineStr">
        <is>
          <t>CG03</t>
        </is>
      </c>
      <c r="B4" s="31" t="n">
        <v>0.5</v>
      </c>
      <c r="C4" s="9" t="inlineStr">
        <is>
          <t>Electrical Reticulation</t>
        </is>
      </c>
    </row>
    <row r="5">
      <c r="A5" s="8" t="inlineStr">
        <is>
          <t>CG04</t>
        </is>
      </c>
      <c r="B5" s="31" t="n">
        <v>0.4</v>
      </c>
      <c r="C5" s="9" t="inlineStr">
        <is>
          <t>Grid Connection</t>
        </is>
      </c>
    </row>
    <row r="6">
      <c r="A6" s="8" t="inlineStr">
        <is>
          <t>CG05</t>
        </is>
      </c>
      <c r="B6" s="31" t="n">
        <v>0.5</v>
      </c>
      <c r="C6" s="9" t="inlineStr">
        <is>
          <t>Balance of Plant / Substation</t>
        </is>
      </c>
    </row>
    <row r="7">
      <c r="A7" s="8" t="inlineStr">
        <is>
          <t>CG06</t>
        </is>
      </c>
      <c r="B7" s="31" t="n">
        <v>0.5</v>
      </c>
      <c r="C7" s="9" t="inlineStr">
        <is>
          <t>Commissioning &amp; Controls</t>
        </is>
      </c>
    </row>
    <row r="8">
      <c r="A8" s="8" t="inlineStr">
        <is>
          <t>CG07</t>
        </is>
      </c>
      <c r="B8" s="31" t="n">
        <v>0.4</v>
      </c>
      <c r="C8" s="9" t="n"/>
    </row>
    <row r="9">
      <c r="A9" s="8" t="inlineStr">
        <is>
          <t>CG08</t>
        </is>
      </c>
      <c r="B9" s="31" t="n">
        <v>0.4</v>
      </c>
      <c r="C9" s="9" t="n"/>
    </row>
    <row r="10">
      <c r="A10" s="8" t="inlineStr">
        <is>
          <t>CG09</t>
        </is>
      </c>
      <c r="B10" s="31" t="n">
        <v>0.4</v>
      </c>
      <c r="C10" s="9" t="n"/>
    </row>
    <row r="11">
      <c r="A11" s="8" t="inlineStr">
        <is>
          <t>CG10</t>
        </is>
      </c>
      <c r="B11" s="31" t="n">
        <v>0.4</v>
      </c>
      <c r="C11" s="9" t="n"/>
    </row>
    <row r="12">
      <c r="A12" s="8" t="inlineStr">
        <is>
          <t>CG11</t>
        </is>
      </c>
      <c r="B12" s="31" t="n">
        <v>0.5</v>
      </c>
      <c r="C12" s="9" t="n"/>
    </row>
    <row r="13">
      <c r="A13" s="8" t="inlineStr">
        <is>
          <t>CG12</t>
        </is>
      </c>
      <c r="B13" s="31" t="n">
        <v>0.5</v>
      </c>
      <c r="C13" s="9" t="n"/>
    </row>
    <row r="14">
      <c r="A14" s="8" t="inlineStr">
        <is>
          <t>CG13</t>
        </is>
      </c>
      <c r="B14" s="31" t="n">
        <v>0.5</v>
      </c>
      <c r="C14" s="9" t="n"/>
    </row>
    <row r="15">
      <c r="A15" s="8" t="inlineStr">
        <is>
          <t>Series</t>
        </is>
      </c>
      <c r="B15" s="32" t="n">
        <v>1</v>
      </c>
      <c r="C15" s="8" t="n"/>
    </row>
    <row r="16">
      <c r="A16" s="8" t="inlineStr">
        <is>
          <t>Hybrid</t>
        </is>
      </c>
      <c r="B16" s="32" t="n">
        <v>0.5</v>
      </c>
      <c r="C16" s="8" t="n"/>
    </row>
    <row r="17">
      <c r="A17" s="8" t="inlineStr">
        <is>
          <t>Parallel</t>
        </is>
      </c>
      <c r="B17" s="32" t="n">
        <v>0</v>
      </c>
      <c r="C17" s="8" t="n"/>
    </row>
    <row r="18">
      <c r="A18" s="8" t="inlineStr">
        <is>
          <t>Cost_Calibration_Tolerance_Dollars</t>
        </is>
      </c>
      <c r="B18" s="31" t="n">
        <v>50000</v>
      </c>
      <c r="C18" s="9" t="inlineStr">
        <is>
          <t>Cost cross-check: absolute tolerance ($)</t>
        </is>
      </c>
    </row>
    <row r="19">
      <c r="A19" s="8" t="inlineStr">
        <is>
          <t>Cost_Calibration_Tolerance_Pct</t>
        </is>
      </c>
      <c r="B19" s="31" t="n">
        <v>0.001</v>
      </c>
      <c r="C19" s="9" t="inlineStr">
        <is>
          <t>Cost cross-check: relative tolerance (fraction)</t>
        </is>
      </c>
    </row>
    <row r="20">
      <c r="A20" s="8" t="inlineStr">
        <is>
          <t>Schedule_Calibration_Tolerance_Days</t>
        </is>
      </c>
      <c r="B20" s="31" t="n">
        <v>1</v>
      </c>
      <c r="C20" s="9" t="inlineStr">
        <is>
          <t>Schedule cross-check: absolute tolerance (days)</t>
        </is>
      </c>
    </row>
    <row r="21">
      <c r="A21" s="8" t="inlineStr">
        <is>
          <t>Schedule_Calibration_Tolerance_Pct</t>
        </is>
      </c>
      <c r="B21" s="31" t="n">
        <v>0.05</v>
      </c>
      <c r="C21" s="9" t="inlineStr">
        <is>
          <t>Schedule cross-check: relative tolerance (fraction)</t>
        </is>
      </c>
    </row>
    <row r="22">
      <c r="A22" s="8" t="inlineStr">
        <is>
          <t>Schedule_Top3_Tie_Tolerance_Pct</t>
        </is>
      </c>
      <c r="B22" s="31" t="n">
        <v>0.02</v>
      </c>
      <c r="C22" s="9" t="inlineStr">
        <is>
          <t>Schedule top-3 cross-check: two contributors the arms rank apart are one tie when within this fraction of each other in BOTH arms</t>
        </is>
      </c>
    </row>
    <row r="23">
      <c r="A23" s="8" t="inlineStr">
        <is>
          <t>Default_Injection_Method</t>
        </is>
      </c>
      <c r="B23" s="9" t="inlineStr">
        <is>
          <t>discrete_event_additive_days</t>
        </is>
      </c>
      <c r="C23" s="9" t="inlineStr">
        <is>
          <t>Dual-coded risks with no Injection_Method on the Mapping sheet take this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0.xml><?xml version="1.0" encoding="utf-8"?>
<worksheet xmlns="http://schemas.openxmlformats.org/spreadsheetml/2006/main">
  <sheetPr>
    <tabColor rgb="008EA9DB"/>
    <outlinePr summaryBelow="1" summaryRight="1"/>
    <pageSetUpPr/>
  </sheetPr>
  <dimension ref="A1:B8"/>
  <sheetViews>
    <sheetView workbookViewId="0">
      <selection activeCell="A1" sqref="A1"/>
    </sheetView>
  </sheetViews>
  <sheetFormatPr baseColWidth="8" defaultRowHeight="15"/>
  <cols>
    <col width="34" customWidth="1" min="1" max="1"/>
    <col width="8.6" customWidth="1" min="2" max="2"/>
  </cols>
  <sheetData>
    <row r="1">
      <c r="A1" s="5" t="inlineStr">
        <is>
          <t>Iterations (interactive default)</t>
        </is>
      </c>
      <c r="B1" s="68" t="n">
        <v>25000</v>
      </c>
    </row>
    <row r="2">
      <c r="A2" s="5" t="inlineStr">
        <is>
          <t>Random seed</t>
        </is>
      </c>
      <c r="B2" s="68" t="n">
        <v>42</v>
      </c>
    </row>
    <row r="3">
      <c r="A3" s="5" t="inlineStr">
        <is>
          <t>View (owner | shared-pool)</t>
        </is>
      </c>
      <c r="B3" s="9" t="inlineStr">
        <is>
          <t>owner</t>
        </is>
      </c>
    </row>
    <row r="4">
      <c r="A4" s="5" t="inlineStr">
        <is>
          <t>Risk-ID prefix</t>
        </is>
      </c>
      <c r="B4" s="9" t="inlineStr">
        <is>
          <t>WT</t>
        </is>
      </c>
    </row>
    <row r="5">
      <c r="A5" s="5" t="inlineStr">
        <is>
          <t>Iterations (100k on-demand button)</t>
        </is>
      </c>
      <c r="B5" s="68" t="n">
        <v>100000</v>
      </c>
    </row>
    <row r="6">
      <c r="A6" s="5" t="inlineStr">
        <is>
          <t>Contract version</t>
        </is>
      </c>
      <c r="B6" s="8" t="inlineStr">
        <is>
          <t>1.4</t>
        </is>
      </c>
    </row>
    <row r="7">
      <c r="A7" s="5" t="inlineStr">
        <is>
          <t>Pyodide runtime pin</t>
        </is>
      </c>
      <c r="B7" t="inlineStr">
        <is>
          <t>314.0.1</t>
        </is>
      </c>
    </row>
    <row r="8">
      <c r="A8" s="5" t="inlineStr">
        <is>
          <t>Layer 1 enabled (TRUE/FALSE)</t>
        </is>
      </c>
      <c r="B8" s="9" t="b">
        <v>1</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1.xml><?xml version="1.0" encoding="utf-8"?>
<worksheet xmlns="http://schemas.openxmlformats.org/spreadsheetml/2006/main">
  <sheetPr>
    <tabColor rgb="00C6E0B4"/>
    <outlinePr summaryBelow="1" summaryRight="1"/>
    <pageSetUpPr/>
  </sheetPr>
  <dimension ref="A1:I12"/>
  <sheetViews>
    <sheetView workbookViewId="0">
      <selection activeCell="A1" sqref="A1"/>
    </sheetView>
  </sheetViews>
  <sheetFormatPr baseColWidth="8" defaultRowHeight="15"/>
  <cols>
    <col width="29.6" customWidth="1" min="1" max="1"/>
    <col width="7" customWidth="1" min="2" max="2"/>
    <col width="7.6" customWidth="1" min="3" max="3"/>
    <col width="7" customWidth="1" min="4" max="4"/>
    <col width="9.6" customWidth="1" min="5" max="5"/>
    <col width="7" customWidth="1" min="6" max="6"/>
    <col width="8.6" customWidth="1" min="7" max="7"/>
    <col width="12.6" customWidth="1" min="8" max="8"/>
    <col width="12.6" customWidth="1" min="9" max="9"/>
  </cols>
  <sheetData>
    <row r="1" ht="28" customHeight="1">
      <c r="A1" s="51" t="inlineStr">
        <is>
          <t>WBS Row</t>
        </is>
      </c>
      <c r="B1" s="69" t="inlineStr">
        <is>
          <t>Staff</t>
        </is>
      </c>
      <c r="C1" s="69" t="inlineStr">
        <is>
          <t>Labour</t>
        </is>
      </c>
      <c r="D1" s="69" t="inlineStr">
        <is>
          <t>Plant</t>
        </is>
      </c>
      <c r="E1" s="69" t="inlineStr">
        <is>
          <t>Concrete</t>
        </is>
      </c>
      <c r="F1" s="69" t="inlineStr">
        <is>
          <t>Steel</t>
        </is>
      </c>
      <c r="G1" s="69" t="inlineStr">
        <is>
          <t>General</t>
        </is>
      </c>
      <c r="H1" s="69" t="inlineStr">
        <is>
          <t>Subcontract</t>
        </is>
      </c>
      <c r="I1" s="69" t="inlineStr">
        <is>
          <t>Provisional</t>
        </is>
      </c>
    </row>
    <row r="2">
      <c r="A2" s="9" t="inlineStr">
        <is>
          <t>Development &amp; approvals</t>
        </is>
      </c>
      <c r="B2" s="70" t="n">
        <v>1</v>
      </c>
      <c r="C2" s="70" t="n">
        <v>0</v>
      </c>
      <c r="D2" s="70" t="n">
        <v>0</v>
      </c>
      <c r="E2" s="70" t="n">
        <v>0</v>
      </c>
      <c r="F2" s="70" t="n">
        <v>0</v>
      </c>
      <c r="G2" s="70" t="n">
        <v>0.3</v>
      </c>
      <c r="H2" s="70" t="n">
        <v>0.2</v>
      </c>
      <c r="I2" s="70" t="n">
        <v>0</v>
      </c>
    </row>
    <row r="3">
      <c r="A3" s="9" t="inlineStr">
        <is>
          <t>Turbine supply</t>
        </is>
      </c>
      <c r="B3" s="70" t="n">
        <v>0</v>
      </c>
      <c r="C3" s="70" t="n">
        <v>0</v>
      </c>
      <c r="D3" s="70" t="n">
        <v>0</v>
      </c>
      <c r="E3" s="70" t="n">
        <v>0</v>
      </c>
      <c r="F3" s="70" t="n">
        <v>0</v>
      </c>
      <c r="G3" s="70" t="n">
        <v>0.5</v>
      </c>
      <c r="H3" s="70" t="n">
        <v>26.5</v>
      </c>
      <c r="I3" s="70" t="n">
        <v>1</v>
      </c>
    </row>
    <row r="4">
      <c r="A4" s="9" t="inlineStr">
        <is>
          <t>Turbine transport &amp; erection</t>
        </is>
      </c>
      <c r="B4" s="70" t="n">
        <v>0.2</v>
      </c>
      <c r="C4" s="70" t="n">
        <v>0.8</v>
      </c>
      <c r="D4" s="70" t="n">
        <v>1.2</v>
      </c>
      <c r="E4" s="70" t="n">
        <v>0</v>
      </c>
      <c r="F4" s="70" t="n">
        <v>0</v>
      </c>
      <c r="G4" s="70" t="n">
        <v>0</v>
      </c>
      <c r="H4" s="70" t="n">
        <v>0.8</v>
      </c>
      <c r="I4" s="70" t="n">
        <v>0</v>
      </c>
    </row>
    <row r="5">
      <c r="A5" s="9" t="inlineStr">
        <is>
          <t>BOP civils</t>
        </is>
      </c>
      <c r="B5" s="70" t="n">
        <v>0</v>
      </c>
      <c r="C5" s="70" t="n">
        <v>1.3</v>
      </c>
      <c r="D5" s="70" t="n">
        <v>1.2</v>
      </c>
      <c r="E5" s="70" t="n">
        <v>1.8</v>
      </c>
      <c r="F5" s="70" t="n">
        <v>0.7</v>
      </c>
      <c r="G5" s="70" t="n">
        <v>0.6</v>
      </c>
      <c r="H5" s="70" t="n">
        <v>0</v>
      </c>
      <c r="I5" s="70" t="n">
        <v>0.4</v>
      </c>
    </row>
    <row r="6">
      <c r="A6" s="9" t="inlineStr">
        <is>
          <t>Electrical BOP</t>
        </is>
      </c>
      <c r="B6" s="70" t="n">
        <v>0.2</v>
      </c>
      <c r="C6" s="70" t="n">
        <v>0.9</v>
      </c>
      <c r="D6" s="70" t="n">
        <v>0</v>
      </c>
      <c r="E6" s="70" t="n">
        <v>0</v>
      </c>
      <c r="F6" s="70" t="n">
        <v>0</v>
      </c>
      <c r="G6" s="70" t="n">
        <v>1.5</v>
      </c>
      <c r="H6" s="70" t="n">
        <v>0.9</v>
      </c>
      <c r="I6" s="70" t="n">
        <v>0</v>
      </c>
    </row>
    <row r="7">
      <c r="A7" s="9" t="inlineStr">
        <is>
          <t>Substation &amp; grid connection</t>
        </is>
      </c>
      <c r="B7" s="70" t="n">
        <v>0.3</v>
      </c>
      <c r="C7" s="70" t="n">
        <v>0</v>
      </c>
      <c r="D7" s="70" t="n">
        <v>0</v>
      </c>
      <c r="E7" s="70" t="n">
        <v>0</v>
      </c>
      <c r="F7" s="70" t="n">
        <v>0.6</v>
      </c>
      <c r="G7" s="70" t="n">
        <v>1.2</v>
      </c>
      <c r="H7" s="70" t="n">
        <v>2.5</v>
      </c>
      <c r="I7" s="70" t="n">
        <v>0.4</v>
      </c>
    </row>
    <row r="8">
      <c r="A8" s="9" t="inlineStr">
        <is>
          <t>Commissioning</t>
        </is>
      </c>
      <c r="B8" s="70" t="n">
        <v>0.4</v>
      </c>
      <c r="C8" s="70" t="n">
        <v>0</v>
      </c>
      <c r="D8" s="70" t="n">
        <v>0</v>
      </c>
      <c r="E8" s="70" t="n">
        <v>0</v>
      </c>
      <c r="F8" s="70" t="n">
        <v>0</v>
      </c>
      <c r="G8" s="70" t="n">
        <v>0.1</v>
      </c>
      <c r="H8" s="70" t="n">
        <v>0.5</v>
      </c>
      <c r="I8" s="70" t="n">
        <v>0</v>
      </c>
    </row>
    <row r="9">
      <c r="A9" s="9" t="inlineStr">
        <is>
          <t>Owners costs &amp; PM</t>
        </is>
      </c>
      <c r="B9" s="70" t="n">
        <v>1.8</v>
      </c>
      <c r="C9" s="70" t="n">
        <v>0</v>
      </c>
      <c r="D9" s="70" t="n">
        <v>0</v>
      </c>
      <c r="E9" s="70" t="n">
        <v>0</v>
      </c>
      <c r="F9" s="70" t="n">
        <v>0</v>
      </c>
      <c r="G9" s="70" t="n">
        <v>0.2</v>
      </c>
      <c r="H9" s="70" t="n">
        <v>0</v>
      </c>
      <c r="I9" s="70" t="n">
        <v>0</v>
      </c>
    </row>
    <row r="10">
      <c r="A10" s="8" t="n"/>
      <c r="B10" s="8" t="n"/>
      <c r="C10" s="8" t="n"/>
      <c r="D10" s="8" t="n"/>
      <c r="E10" s="8" t="n"/>
      <c r="F10" s="8" t="n"/>
      <c r="G10" s="8" t="n"/>
      <c r="H10" s="8" t="n"/>
      <c r="I10" s="8" t="n"/>
    </row>
    <row r="11">
      <c r="A11" s="8" t="inlineStr">
        <is>
          <t>Declared_Total ($M)</t>
        </is>
      </c>
      <c r="B11" s="53" t="n">
        <v>50</v>
      </c>
      <c r="C11" s="8" t="n"/>
      <c r="D11" s="8" t="n"/>
      <c r="E11" s="8" t="n"/>
      <c r="F11" s="8" t="n"/>
      <c r="G11" s="8" t="n"/>
      <c r="H11" s="8" t="n"/>
      <c r="I11" s="8" t="n"/>
    </row>
    <row r="12">
      <c r="A12" s="8" t="inlineStr">
        <is>
          <t>Units</t>
        </is>
      </c>
      <c r="B12" s="8" t="inlineStr">
        <is>
          <t>$M (read x 1,000,000 -&gt; dollars)</t>
        </is>
      </c>
      <c r="C12" s="8" t="n"/>
      <c r="D12" s="8" t="n"/>
      <c r="E12" s="8" t="n"/>
      <c r="F12" s="8" t="n"/>
      <c r="G12" s="8" t="n"/>
      <c r="H12" s="8" t="n"/>
      <c r="I12" s="8"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2.xml><?xml version="1.0" encoding="utf-8"?>
<worksheet xmlns="http://schemas.openxmlformats.org/spreadsheetml/2006/main">
  <sheetPr>
    <tabColor rgb="00C6E0B4"/>
    <outlinePr summaryBelow="1" summaryRight="1"/>
    <pageSetUpPr/>
  </sheetPr>
  <dimension ref="A1:F15"/>
  <sheetViews>
    <sheetView workbookViewId="0">
      <selection activeCell="A1" sqref="A1"/>
    </sheetView>
  </sheetViews>
  <sheetFormatPr baseColWidth="8" defaultRowHeight="15"/>
  <cols>
    <col width="11.6" customWidth="1" min="1" max="1"/>
    <col width="16.6" customWidth="1" min="2" max="2"/>
    <col width="8.6" customWidth="1" min="3" max="3"/>
    <col width="8.6" customWidth="1" min="4" max="4"/>
    <col width="7" customWidth="1" min="5" max="5"/>
    <col width="20.6" customWidth="1" min="6" max="6"/>
  </cols>
  <sheetData>
    <row r="1" ht="28" customHeight="1">
      <c r="A1" s="51" t="inlineStr">
        <is>
          <t>Factor</t>
        </is>
      </c>
      <c r="B1" s="51" t="inlineStr">
        <is>
          <t>Driver</t>
        </is>
      </c>
      <c r="C1" s="51" t="inlineStr">
        <is>
          <t>Opt_P10</t>
        </is>
      </c>
      <c r="D1" s="51" t="inlineStr">
        <is>
          <t>ML_mode</t>
        </is>
      </c>
      <c r="E1" s="51" t="inlineStr">
        <is>
          <t>P90</t>
        </is>
      </c>
      <c r="F1" s="51" t="inlineStr">
        <is>
          <t>Column_Scope</t>
        </is>
      </c>
    </row>
    <row r="2">
      <c r="A2" s="9" t="inlineStr">
        <is>
          <t>Provisions</t>
        </is>
      </c>
      <c r="B2" s="9" t="inlineStr">
        <is>
          <t>provisions</t>
        </is>
      </c>
      <c r="C2" s="71" t="n">
        <v>-0.5</v>
      </c>
      <c r="D2" s="71" t="n">
        <v>0</v>
      </c>
      <c r="E2" s="71" t="n">
        <v>0.3</v>
      </c>
      <c r="F2" s="9" t="inlineStr">
        <is>
          <t>Provisional</t>
        </is>
      </c>
    </row>
    <row r="3">
      <c r="A3" s="9" t="inlineStr">
        <is>
          <t>Duration</t>
        </is>
      </c>
      <c r="B3" s="9" t="inlineStr">
        <is>
          <t>duration</t>
        </is>
      </c>
      <c r="C3" s="71" t="n">
        <v>-0.05</v>
      </c>
      <c r="D3" s="71" t="n">
        <v>0</v>
      </c>
      <c r="E3" s="71" t="n">
        <v>0.15</v>
      </c>
      <c r="F3" s="9" t="inlineStr">
        <is>
          <t>ALL</t>
        </is>
      </c>
    </row>
    <row r="4">
      <c r="A4" s="9" t="inlineStr">
        <is>
          <t>Q_Civils</t>
        </is>
      </c>
      <c r="B4" s="9" t="inlineStr">
        <is>
          <t>civils_quantity</t>
        </is>
      </c>
      <c r="C4" s="71" t="n">
        <v>-0.08</v>
      </c>
      <c r="D4" s="71" t="n">
        <v>0</v>
      </c>
      <c r="E4" s="71" t="n">
        <v>0.2</v>
      </c>
      <c r="F4" s="9" t="inlineStr">
        <is>
          <t>ALL</t>
        </is>
      </c>
    </row>
    <row r="5">
      <c r="A5" s="9" t="inlineStr">
        <is>
          <t>Q_Elec</t>
        </is>
      </c>
      <c r="B5" s="9" t="inlineStr">
        <is>
          <t>elec_quantity</t>
        </is>
      </c>
      <c r="C5" s="71" t="n">
        <v>-0.05</v>
      </c>
      <c r="D5" s="71" t="n">
        <v>0</v>
      </c>
      <c r="E5" s="71" t="n">
        <v>0.15</v>
      </c>
      <c r="F5" s="9" t="inlineStr">
        <is>
          <t>ALL</t>
        </is>
      </c>
    </row>
    <row r="6">
      <c r="A6" s="9" t="inlineStr">
        <is>
          <t>Q_Grid</t>
        </is>
      </c>
      <c r="B6" s="9" t="inlineStr">
        <is>
          <t>grid_scope</t>
        </is>
      </c>
      <c r="C6" s="71" t="n">
        <v>-0.05</v>
      </c>
      <c r="D6" s="71" t="n">
        <v>0</v>
      </c>
      <c r="E6" s="71" t="n">
        <v>0.25</v>
      </c>
      <c r="F6" s="9" t="inlineStr">
        <is>
          <t>ALL</t>
        </is>
      </c>
    </row>
    <row r="7">
      <c r="A7" s="9" t="inlineStr">
        <is>
          <t>R_Turbine</t>
        </is>
      </c>
      <c r="B7" s="9" t="inlineStr">
        <is>
          <t>turbine_price</t>
        </is>
      </c>
      <c r="C7" s="71" t="n">
        <v>-0.05</v>
      </c>
      <c r="D7" s="71" t="n">
        <v>0</v>
      </c>
      <c r="E7" s="71" t="n">
        <v>0.12</v>
      </c>
      <c r="F7" s="9" t="inlineStr">
        <is>
          <t>ALL</t>
        </is>
      </c>
    </row>
    <row r="8">
      <c r="A8" s="9" t="inlineStr">
        <is>
          <t>FX</t>
        </is>
      </c>
      <c r="B8" s="9" t="inlineStr">
        <is>
          <t>fx</t>
        </is>
      </c>
      <c r="C8" s="71" t="n">
        <v>-0.06</v>
      </c>
      <c r="D8" s="71" t="n">
        <v>0</v>
      </c>
      <c r="E8" s="71" t="n">
        <v>0.1</v>
      </c>
      <c r="F8" s="9" t="inlineStr">
        <is>
          <t>Subcontract,General</t>
        </is>
      </c>
    </row>
    <row r="9">
      <c r="A9" s="9" t="inlineStr">
        <is>
          <t>R_Concrete</t>
        </is>
      </c>
      <c r="B9" s="9" t="inlineStr">
        <is>
          <t>concrete_rate</t>
        </is>
      </c>
      <c r="C9" s="71" t="n">
        <v>-0.05</v>
      </c>
      <c r="D9" s="71" t="n">
        <v>0</v>
      </c>
      <c r="E9" s="71" t="n">
        <v>0.15</v>
      </c>
      <c r="F9" s="9" t="inlineStr">
        <is>
          <t>Concrete</t>
        </is>
      </c>
    </row>
    <row r="10">
      <c r="A10" s="9" t="inlineStr">
        <is>
          <t>R_Steel</t>
        </is>
      </c>
      <c r="B10" s="9" t="inlineStr">
        <is>
          <t>steel_rate</t>
        </is>
      </c>
      <c r="C10" s="71" t="n">
        <v>-0.08</v>
      </c>
      <c r="D10" s="71" t="n">
        <v>0</v>
      </c>
      <c r="E10" s="71" t="n">
        <v>0.2</v>
      </c>
      <c r="F10" s="9" t="inlineStr">
        <is>
          <t>Steel</t>
        </is>
      </c>
    </row>
    <row r="11">
      <c r="A11" s="9" t="inlineStr">
        <is>
          <t>R_General</t>
        </is>
      </c>
      <c r="B11" s="9" t="inlineStr">
        <is>
          <t>general_rate</t>
        </is>
      </c>
      <c r="C11" s="71" t="n">
        <v>-0.05</v>
      </c>
      <c r="D11" s="71" t="n">
        <v>0</v>
      </c>
      <c r="E11" s="71" t="n">
        <v>0.12</v>
      </c>
      <c r="F11" s="9" t="inlineStr">
        <is>
          <t>General</t>
        </is>
      </c>
    </row>
    <row r="12">
      <c r="A12" s="9" t="inlineStr">
        <is>
          <t>R_Plant</t>
        </is>
      </c>
      <c r="B12" s="9" t="inlineStr">
        <is>
          <t>plant_rate</t>
        </is>
      </c>
      <c r="C12" s="71" t="n">
        <v>-0.05</v>
      </c>
      <c r="D12" s="71" t="n">
        <v>0</v>
      </c>
      <c r="E12" s="71" t="n">
        <v>0.12</v>
      </c>
      <c r="F12" s="9" t="inlineStr">
        <is>
          <t>Plant</t>
        </is>
      </c>
    </row>
    <row r="13">
      <c r="A13" s="9" t="inlineStr">
        <is>
          <t>R_Subcon</t>
        </is>
      </c>
      <c r="B13" s="9" t="inlineStr">
        <is>
          <t>subcon_rate</t>
        </is>
      </c>
      <c r="C13" s="71" t="n">
        <v>-0.04</v>
      </c>
      <c r="D13" s="71" t="n">
        <v>0</v>
      </c>
      <c r="E13" s="71" t="n">
        <v>0.1</v>
      </c>
      <c r="F13" s="9" t="inlineStr">
        <is>
          <t>Subcontract</t>
        </is>
      </c>
    </row>
    <row r="14">
      <c r="A14" s="9" t="inlineStr">
        <is>
          <t>R_Staff</t>
        </is>
      </c>
      <c r="B14" s="9" t="inlineStr">
        <is>
          <t>staff_rate</t>
        </is>
      </c>
      <c r="C14" s="71" t="n">
        <v>-0.03</v>
      </c>
      <c r="D14" s="71" t="n">
        <v>0</v>
      </c>
      <c r="E14" s="71" t="n">
        <v>0.08</v>
      </c>
      <c r="F14" s="9" t="inlineStr">
        <is>
          <t>Staff</t>
        </is>
      </c>
    </row>
    <row r="15">
      <c r="A15" s="9" t="inlineStr">
        <is>
          <t>R_Labour</t>
        </is>
      </c>
      <c r="B15" s="9" t="inlineStr">
        <is>
          <t>labour_rate</t>
        </is>
      </c>
      <c r="C15" s="71" t="n">
        <v>-0.04</v>
      </c>
      <c r="D15" s="71" t="n">
        <v>0</v>
      </c>
      <c r="E15" s="71" t="n">
        <v>0.12</v>
      </c>
      <c r="F15" s="9" t="inlineStr">
        <is>
          <t>Labour</t>
        </is>
      </c>
    </row>
  </sheetData>
  <sheetProtection selectLockedCells="0" selectUnlockedCells="0" sheet="1" objects="0" insertRows="0" insertHyperlinks="1" autoFilter="0" scenarios="0" formatColumns="1" deleteColumns="1" insertColumns="1" pivotTables="1" deleteRows="1" formatCells="1" formatRows="1" sort="0"/>
  <dataValidations count="1">
    <dataValidation sqref="A2:A100" showDropDown="0" showInputMessage="0" showErrorMessage="0" allowBlank="1" errorTitle="Invalid Factor" error="Choose from the Factor cascade list (edit it on the Lists tab)." type="list">
      <formula1>List_Factor</formula1>
    </dataValidation>
  </dataValidations>
  <pageMargins left="0.75" right="0.75" top="1" bottom="1" header="0.5" footer="0.5"/>
</worksheet>
</file>

<file path=xl/worksheets/sheet13.xml><?xml version="1.0" encoding="utf-8"?>
<worksheet xmlns="http://schemas.openxmlformats.org/spreadsheetml/2006/main">
  <sheetPr>
    <tabColor rgb="00C6E0B4"/>
    <outlinePr summaryBelow="1" summaryRight="1"/>
    <pageSetUpPr/>
  </sheetPr>
  <dimension ref="A1:I15"/>
  <sheetViews>
    <sheetView workbookViewId="0">
      <selection activeCell="A1" sqref="A1"/>
    </sheetView>
  </sheetViews>
  <sheetFormatPr baseColWidth="8" defaultRowHeight="15"/>
  <cols>
    <col width="11.6" customWidth="1" min="1" max="1"/>
    <col width="24.6" customWidth="1" min="2" max="2"/>
    <col width="15.6" customWidth="1" min="3" max="3"/>
    <col width="29.6" customWidth="1" min="4" max="4"/>
    <col width="11.6" customWidth="1" min="5" max="5"/>
    <col width="15.6" customWidth="1" min="6" max="6"/>
    <col width="29.6" customWidth="1" min="7" max="7"/>
    <col width="14.6" customWidth="1" min="8" max="8"/>
    <col width="18.6" customWidth="1" min="9" max="9"/>
  </cols>
  <sheetData>
    <row r="1" ht="34" customHeight="1">
      <c r="A1" s="51" t="inlineStr">
        <is>
          <t>Factor</t>
        </is>
      </c>
      <c r="B1" s="69" t="inlineStr">
        <is>
          <t>Development &amp; approvals</t>
        </is>
      </c>
      <c r="C1" s="69" t="inlineStr">
        <is>
          <t>Turbine supply</t>
        </is>
      </c>
      <c r="D1" s="69" t="inlineStr">
        <is>
          <t>Turbine transport &amp; erection</t>
        </is>
      </c>
      <c r="E1" s="69" t="inlineStr">
        <is>
          <t>BOP civils</t>
        </is>
      </c>
      <c r="F1" s="69" t="inlineStr">
        <is>
          <t>Electrical BOP</t>
        </is>
      </c>
      <c r="G1" s="69" t="inlineStr">
        <is>
          <t>Substation &amp; grid connection</t>
        </is>
      </c>
      <c r="H1" s="69" t="inlineStr">
        <is>
          <t>Commissioning</t>
        </is>
      </c>
      <c r="I1" s="69" t="inlineStr">
        <is>
          <t>Owners costs &amp; PM</t>
        </is>
      </c>
    </row>
    <row r="2">
      <c r="A2" s="9" t="inlineStr">
        <is>
          <t>Provisions</t>
        </is>
      </c>
      <c r="B2" s="72" t="inlineStr">
        <is>
          <t>x</t>
        </is>
      </c>
      <c r="C2" s="72" t="inlineStr">
        <is>
          <t>x</t>
        </is>
      </c>
      <c r="D2" s="72" t="inlineStr">
        <is>
          <t>x</t>
        </is>
      </c>
      <c r="E2" s="72" t="inlineStr">
        <is>
          <t>x</t>
        </is>
      </c>
      <c r="F2" s="72" t="inlineStr">
        <is>
          <t>x</t>
        </is>
      </c>
      <c r="G2" s="72" t="inlineStr">
        <is>
          <t>x</t>
        </is>
      </c>
      <c r="H2" s="72" t="inlineStr">
        <is>
          <t>x</t>
        </is>
      </c>
      <c r="I2" s="72" t="inlineStr">
        <is>
          <t>x</t>
        </is>
      </c>
    </row>
    <row r="3">
      <c r="A3" s="9" t="inlineStr">
        <is>
          <t>Duration</t>
        </is>
      </c>
      <c r="B3" s="72" t="n"/>
      <c r="C3" s="72" t="n"/>
      <c r="D3" s="72" t="inlineStr">
        <is>
          <t>x</t>
        </is>
      </c>
      <c r="E3" s="72" t="n"/>
      <c r="F3" s="72" t="n"/>
      <c r="G3" s="72" t="n"/>
      <c r="H3" s="72" t="inlineStr">
        <is>
          <t>x</t>
        </is>
      </c>
      <c r="I3" s="72" t="inlineStr">
        <is>
          <t>x</t>
        </is>
      </c>
    </row>
    <row r="4">
      <c r="A4" s="9" t="inlineStr">
        <is>
          <t>Q_Civils</t>
        </is>
      </c>
      <c r="B4" s="72" t="n"/>
      <c r="C4" s="72" t="n"/>
      <c r="D4" s="72" t="n"/>
      <c r="E4" s="72" t="inlineStr">
        <is>
          <t>x</t>
        </is>
      </c>
      <c r="F4" s="72" t="n"/>
      <c r="G4" s="72" t="n"/>
      <c r="H4" s="72" t="n"/>
      <c r="I4" s="72" t="n"/>
    </row>
    <row r="5">
      <c r="A5" s="9" t="inlineStr">
        <is>
          <t>Q_Elec</t>
        </is>
      </c>
      <c r="B5" s="72" t="n"/>
      <c r="C5" s="72" t="n"/>
      <c r="D5" s="72" t="n"/>
      <c r="E5" s="72" t="n"/>
      <c r="F5" s="72" t="inlineStr">
        <is>
          <t>x</t>
        </is>
      </c>
      <c r="G5" s="72" t="n"/>
      <c r="H5" s="72" t="n"/>
      <c r="I5" s="72" t="n"/>
    </row>
    <row r="6">
      <c r="A6" s="9" t="inlineStr">
        <is>
          <t>Q_Grid</t>
        </is>
      </c>
      <c r="B6" s="72" t="n"/>
      <c r="C6" s="72" t="n"/>
      <c r="D6" s="72" t="n"/>
      <c r="E6" s="72" t="n"/>
      <c r="F6" s="72" t="n"/>
      <c r="G6" s="72" t="inlineStr">
        <is>
          <t>x</t>
        </is>
      </c>
      <c r="H6" s="72" t="n"/>
      <c r="I6" s="72" t="n"/>
    </row>
    <row r="7">
      <c r="A7" s="9" t="inlineStr">
        <is>
          <t>R_Turbine</t>
        </is>
      </c>
      <c r="B7" s="72" t="n"/>
      <c r="C7" s="72" t="inlineStr">
        <is>
          <t>x</t>
        </is>
      </c>
      <c r="D7" s="72" t="n"/>
      <c r="E7" s="72" t="n"/>
      <c r="F7" s="72" t="n"/>
      <c r="G7" s="72" t="n"/>
      <c r="H7" s="72" t="n"/>
      <c r="I7" s="72" t="n"/>
    </row>
    <row r="8">
      <c r="A8" s="9" t="inlineStr">
        <is>
          <t>FX</t>
        </is>
      </c>
      <c r="B8" s="72" t="n"/>
      <c r="C8" s="72" t="inlineStr">
        <is>
          <t>x</t>
        </is>
      </c>
      <c r="D8" s="72" t="n"/>
      <c r="E8" s="72" t="n"/>
      <c r="F8" s="72" t="inlineStr">
        <is>
          <t>x</t>
        </is>
      </c>
      <c r="G8" s="72" t="n"/>
      <c r="H8" s="72" t="n"/>
      <c r="I8" s="72" t="n"/>
    </row>
    <row r="9">
      <c r="A9" s="9" t="inlineStr">
        <is>
          <t>R_Concrete</t>
        </is>
      </c>
      <c r="B9" s="72" t="inlineStr">
        <is>
          <t>x</t>
        </is>
      </c>
      <c r="C9" s="72" t="inlineStr">
        <is>
          <t>x</t>
        </is>
      </c>
      <c r="D9" s="72" t="inlineStr">
        <is>
          <t>x</t>
        </is>
      </c>
      <c r="E9" s="72" t="inlineStr">
        <is>
          <t>x</t>
        </is>
      </c>
      <c r="F9" s="72" t="inlineStr">
        <is>
          <t>x</t>
        </is>
      </c>
      <c r="G9" s="72" t="inlineStr">
        <is>
          <t>x</t>
        </is>
      </c>
      <c r="H9" s="72" t="inlineStr">
        <is>
          <t>x</t>
        </is>
      </c>
      <c r="I9" s="72" t="inlineStr">
        <is>
          <t>x</t>
        </is>
      </c>
    </row>
    <row r="10">
      <c r="A10" s="9" t="inlineStr">
        <is>
          <t>R_Steel</t>
        </is>
      </c>
      <c r="B10" s="72" t="inlineStr">
        <is>
          <t>x</t>
        </is>
      </c>
      <c r="C10" s="72" t="inlineStr">
        <is>
          <t>x</t>
        </is>
      </c>
      <c r="D10" s="72" t="inlineStr">
        <is>
          <t>x</t>
        </is>
      </c>
      <c r="E10" s="72" t="inlineStr">
        <is>
          <t>x</t>
        </is>
      </c>
      <c r="F10" s="72" t="inlineStr">
        <is>
          <t>x</t>
        </is>
      </c>
      <c r="G10" s="72" t="inlineStr">
        <is>
          <t>x</t>
        </is>
      </c>
      <c r="H10" s="72" t="inlineStr">
        <is>
          <t>x</t>
        </is>
      </c>
      <c r="I10" s="72" t="inlineStr">
        <is>
          <t>x</t>
        </is>
      </c>
    </row>
    <row r="11">
      <c r="A11" s="9" t="inlineStr">
        <is>
          <t>R_General</t>
        </is>
      </c>
      <c r="B11" s="72" t="inlineStr">
        <is>
          <t>x</t>
        </is>
      </c>
      <c r="C11" s="72" t="inlineStr">
        <is>
          <t>x</t>
        </is>
      </c>
      <c r="D11" s="72" t="inlineStr">
        <is>
          <t>x</t>
        </is>
      </c>
      <c r="E11" s="72" t="inlineStr">
        <is>
          <t>x</t>
        </is>
      </c>
      <c r="F11" s="72" t="inlineStr">
        <is>
          <t>x</t>
        </is>
      </c>
      <c r="G11" s="72" t="inlineStr">
        <is>
          <t>x</t>
        </is>
      </c>
      <c r="H11" s="72" t="inlineStr">
        <is>
          <t>x</t>
        </is>
      </c>
      <c r="I11" s="72" t="inlineStr">
        <is>
          <t>x</t>
        </is>
      </c>
    </row>
    <row r="12">
      <c r="A12" s="9" t="inlineStr">
        <is>
          <t>R_Plant</t>
        </is>
      </c>
      <c r="B12" s="72" t="inlineStr">
        <is>
          <t>x</t>
        </is>
      </c>
      <c r="C12" s="72" t="inlineStr">
        <is>
          <t>x</t>
        </is>
      </c>
      <c r="D12" s="72" t="inlineStr">
        <is>
          <t>x</t>
        </is>
      </c>
      <c r="E12" s="72" t="inlineStr">
        <is>
          <t>x</t>
        </is>
      </c>
      <c r="F12" s="72" t="inlineStr">
        <is>
          <t>x</t>
        </is>
      </c>
      <c r="G12" s="72" t="inlineStr">
        <is>
          <t>x</t>
        </is>
      </c>
      <c r="H12" s="72" t="inlineStr">
        <is>
          <t>x</t>
        </is>
      </c>
      <c r="I12" s="72" t="inlineStr">
        <is>
          <t>x</t>
        </is>
      </c>
    </row>
    <row r="13">
      <c r="A13" s="9" t="inlineStr">
        <is>
          <t>R_Subcon</t>
        </is>
      </c>
      <c r="B13" s="72" t="inlineStr">
        <is>
          <t>x</t>
        </is>
      </c>
      <c r="C13" s="72" t="n"/>
      <c r="D13" s="72" t="inlineStr">
        <is>
          <t>x</t>
        </is>
      </c>
      <c r="E13" s="72" t="n"/>
      <c r="F13" s="72" t="inlineStr">
        <is>
          <t>x</t>
        </is>
      </c>
      <c r="G13" s="72" t="inlineStr">
        <is>
          <t>x</t>
        </is>
      </c>
      <c r="H13" s="72" t="inlineStr">
        <is>
          <t>x</t>
        </is>
      </c>
      <c r="I13" s="72" t="n"/>
    </row>
    <row r="14">
      <c r="A14" s="9" t="inlineStr">
        <is>
          <t>R_Staff</t>
        </is>
      </c>
      <c r="B14" s="72" t="inlineStr">
        <is>
          <t>x</t>
        </is>
      </c>
      <c r="C14" s="72" t="inlineStr">
        <is>
          <t>x</t>
        </is>
      </c>
      <c r="D14" s="72" t="inlineStr">
        <is>
          <t>x</t>
        </is>
      </c>
      <c r="E14" s="72" t="inlineStr">
        <is>
          <t>x</t>
        </is>
      </c>
      <c r="F14" s="72" t="inlineStr">
        <is>
          <t>x</t>
        </is>
      </c>
      <c r="G14" s="72" t="inlineStr">
        <is>
          <t>x</t>
        </is>
      </c>
      <c r="H14" s="72" t="inlineStr">
        <is>
          <t>x</t>
        </is>
      </c>
      <c r="I14" s="72" t="inlineStr">
        <is>
          <t>x</t>
        </is>
      </c>
    </row>
    <row r="15">
      <c r="A15" s="9" t="inlineStr">
        <is>
          <t>R_Labour</t>
        </is>
      </c>
      <c r="B15" s="72" t="inlineStr">
        <is>
          <t>x</t>
        </is>
      </c>
      <c r="C15" s="72" t="inlineStr">
        <is>
          <t>x</t>
        </is>
      </c>
      <c r="D15" s="72" t="inlineStr">
        <is>
          <t>x</t>
        </is>
      </c>
      <c r="E15" s="72" t="inlineStr">
        <is>
          <t>x</t>
        </is>
      </c>
      <c r="F15" s="72" t="inlineStr">
        <is>
          <t>x</t>
        </is>
      </c>
      <c r="G15" s="72" t="inlineStr">
        <is>
          <t>x</t>
        </is>
      </c>
      <c r="H15" s="72" t="inlineStr">
        <is>
          <t>x</t>
        </is>
      </c>
      <c r="I15" s="72" t="inlineStr">
        <is>
          <t>x</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4.xml><?xml version="1.0" encoding="utf-8"?>
<worksheet xmlns="http://schemas.openxmlformats.org/spreadsheetml/2006/main">
  <sheetPr>
    <tabColor rgb="00C6E0B4"/>
    <outlinePr summaryBelow="1" summaryRight="1"/>
    <pageSetUpPr/>
  </sheetPr>
  <dimension ref="A1:H11"/>
  <sheetViews>
    <sheetView workbookViewId="0">
      <selection activeCell="A1" sqref="A1"/>
    </sheetView>
  </sheetViews>
  <sheetFormatPr baseColWidth="8" defaultRowHeight="15"/>
  <cols>
    <col width="11.6" customWidth="1" min="1" max="1"/>
    <col width="10.6" customWidth="1" min="2" max="2"/>
    <col width="7" customWidth="1" min="3" max="3"/>
    <col width="11.6" customWidth="1" min="4" max="4"/>
    <col width="8.6" customWidth="1" min="5" max="5"/>
    <col width="10.6" customWidth="1" min="6" max="6"/>
    <col width="8.6" customWidth="1" min="7" max="7"/>
    <col width="9.6" customWidth="1" min="8" max="8"/>
  </cols>
  <sheetData>
    <row r="1">
      <c r="A1" s="73" t="inlineStr">
        <is>
          <t>Corr_Mode</t>
        </is>
      </c>
      <c r="B1" s="9" t="inlineStr">
        <is>
          <t>elicited</t>
        </is>
      </c>
      <c r="C1" s="8" t="inlineStr">
        <is>
          <t>(zero | elicited | one)</t>
        </is>
      </c>
      <c r="D1" s="8" t="n"/>
      <c r="E1" s="8" t="n"/>
      <c r="F1" s="8" t="n"/>
      <c r="G1" s="8" t="n"/>
      <c r="H1" s="8" t="n"/>
    </row>
    <row r="2">
      <c r="A2" s="73" t="inlineStr">
        <is>
          <t>PSD_Status</t>
        </is>
      </c>
      <c r="B2" s="8" t="inlineStr">
        <is>
          <t>valid</t>
        </is>
      </c>
      <c r="C2" s="8" t="inlineStr">
        <is>
          <t>(reader recomputes via Corr_flag)</t>
        </is>
      </c>
      <c r="D2" s="8" t="n"/>
      <c r="E2" s="8" t="n"/>
      <c r="F2" s="8" t="n"/>
      <c r="G2" s="8" t="n"/>
      <c r="H2" s="8" t="n"/>
    </row>
    <row r="3">
      <c r="A3" s="8" t="n"/>
      <c r="B3" s="8" t="n"/>
      <c r="C3" s="8" t="n"/>
      <c r="D3" s="8" t="n"/>
      <c r="E3" s="8" t="n"/>
      <c r="F3" s="8" t="n"/>
      <c r="G3" s="8" t="n"/>
      <c r="H3" s="8" t="n"/>
    </row>
    <row r="4" ht="28" customHeight="1">
      <c r="A4" s="51" t="inlineStr">
        <is>
          <t>Factor</t>
        </is>
      </c>
      <c r="B4" s="51" t="inlineStr">
        <is>
          <t>R_Turbine</t>
        </is>
      </c>
      <c r="C4" s="51" t="inlineStr">
        <is>
          <t>FX</t>
        </is>
      </c>
      <c r="D4" s="51" t="inlineStr">
        <is>
          <t>R_Concrete</t>
        </is>
      </c>
      <c r="E4" s="51" t="inlineStr">
        <is>
          <t>R_Steel</t>
        </is>
      </c>
      <c r="F4" s="51" t="inlineStr">
        <is>
          <t>R_General</t>
        </is>
      </c>
      <c r="G4" s="51" t="inlineStr">
        <is>
          <t>R_Plant</t>
        </is>
      </c>
      <c r="H4" s="51" t="inlineStr">
        <is>
          <t>R_Subcon</t>
        </is>
      </c>
    </row>
    <row r="5">
      <c r="A5" s="28" t="inlineStr">
        <is>
          <t>R_Turbine</t>
        </is>
      </c>
      <c r="B5" s="74" t="n">
        <v>1</v>
      </c>
      <c r="C5" s="75" t="n"/>
      <c r="D5" s="75" t="n"/>
      <c r="E5" s="75" t="n"/>
      <c r="F5" s="75" t="n"/>
      <c r="G5" s="75" t="n"/>
      <c r="H5" s="75" t="n"/>
    </row>
    <row r="6">
      <c r="A6" s="28" t="inlineStr">
        <is>
          <t>FX</t>
        </is>
      </c>
      <c r="B6" s="76" t="n">
        <v>0.3</v>
      </c>
      <c r="C6" s="74" t="n">
        <v>1</v>
      </c>
      <c r="D6" s="75" t="n"/>
      <c r="E6" s="75" t="n"/>
      <c r="F6" s="75" t="n"/>
      <c r="G6" s="75" t="n"/>
      <c r="H6" s="75" t="n"/>
    </row>
    <row r="7">
      <c r="A7" s="28" t="inlineStr">
        <is>
          <t>R_Concrete</t>
        </is>
      </c>
      <c r="B7" s="76" t="n">
        <v>0.3</v>
      </c>
      <c r="C7" s="76" t="n">
        <v>0.1</v>
      </c>
      <c r="D7" s="74" t="n">
        <v>1</v>
      </c>
      <c r="E7" s="75" t="n"/>
      <c r="F7" s="75" t="n"/>
      <c r="G7" s="75" t="n"/>
      <c r="H7" s="75" t="n"/>
    </row>
    <row r="8">
      <c r="A8" s="28" t="inlineStr">
        <is>
          <t>R_Steel</t>
        </is>
      </c>
      <c r="B8" s="76" t="n">
        <v>0.4</v>
      </c>
      <c r="C8" s="76" t="n">
        <v>0.2</v>
      </c>
      <c r="D8" s="76" t="n">
        <v>0.5</v>
      </c>
      <c r="E8" s="74" t="n">
        <v>1</v>
      </c>
      <c r="F8" s="75" t="n"/>
      <c r="G8" s="75" t="n"/>
      <c r="H8" s="75" t="n"/>
    </row>
    <row r="9">
      <c r="A9" s="28" t="inlineStr">
        <is>
          <t>R_General</t>
        </is>
      </c>
      <c r="B9" s="76" t="n">
        <v>0.3</v>
      </c>
      <c r="C9" s="76" t="n">
        <v>0.3</v>
      </c>
      <c r="D9" s="76" t="n">
        <v>0.4</v>
      </c>
      <c r="E9" s="76" t="n">
        <v>0.4</v>
      </c>
      <c r="F9" s="74" t="n">
        <v>1</v>
      </c>
      <c r="G9" s="75" t="n"/>
      <c r="H9" s="75" t="n"/>
    </row>
    <row r="10">
      <c r="A10" s="28" t="inlineStr">
        <is>
          <t>R_Plant</t>
        </is>
      </c>
      <c r="B10" s="76" t="n">
        <v>0.2</v>
      </c>
      <c r="C10" s="76" t="n">
        <v>0.1</v>
      </c>
      <c r="D10" s="76" t="n">
        <v>0.3</v>
      </c>
      <c r="E10" s="76" t="n">
        <v>0.3</v>
      </c>
      <c r="F10" s="76" t="n">
        <v>0.3</v>
      </c>
      <c r="G10" s="74" t="n">
        <v>1</v>
      </c>
      <c r="H10" s="75" t="n"/>
    </row>
    <row r="11">
      <c r="A11" s="28" t="inlineStr">
        <is>
          <t>R_Subcon</t>
        </is>
      </c>
      <c r="B11" s="76" t="n">
        <v>0.2</v>
      </c>
      <c r="C11" s="76" t="n">
        <v>0.1</v>
      </c>
      <c r="D11" s="76" t="n">
        <v>0.3</v>
      </c>
      <c r="E11" s="76" t="n">
        <v>0.3</v>
      </c>
      <c r="F11" s="76" t="n">
        <v>0.4</v>
      </c>
      <c r="G11" s="76" t="n">
        <v>0.3</v>
      </c>
      <c r="H11" s="74" t="n">
        <v>1</v>
      </c>
    </row>
  </sheetData>
  <sheetProtection selectLockedCells="0" selectUnlockedCells="0" sheet="1" objects="0" insertRows="1" insertHyperlinks="1" autoFilter="1" scenarios="0" formatColumns="1" deleteColumns="1" insertColumns="1" pivotTables="1" deleteRows="1" formatCells="1" formatRows="1" sort="1"/>
  <conditionalFormatting sqref="B5:H11">
    <cfRule type="colorScale" priority="1">
      <colorScale>
        <cfvo type="num" val="0"/>
        <cfvo type="num" val="1"/>
        <color rgb="FFFFFFFF"/>
        <color rgb="FF5B9BD5"/>
      </colorScale>
    </cfRule>
  </conditionalFormatting>
  <dataValidations count="1">
    <dataValidation sqref="A5:A100" showDropDown="0" showInputMessage="0" showErrorMessage="0" allowBlank="1" errorTitle="Invalid Factor" error="Choose from the Factor cascade list (edit it on the Lists tab)." type="list">
      <formula1>List_Factor</formula1>
    </dataValidation>
  </dataValidations>
  <pageMargins left="0.75" right="0.75" top="1" bottom="1" header="0.5" footer="0.5"/>
</worksheet>
</file>

<file path=xl/worksheets/sheet15.xml><?xml version="1.0" encoding="utf-8"?>
<worksheet xmlns="http://schemas.openxmlformats.org/spreadsheetml/2006/main">
  <sheetPr>
    <tabColor rgb="00A5A5A5"/>
    <outlinePr summaryBelow="1" summaryRight="1"/>
    <pageSetUpPr/>
  </sheetPr>
  <dimension ref="A1:B266"/>
  <sheetViews>
    <sheetView showGridLines="0" workbookViewId="0">
      <selection activeCell="A1" sqref="A1"/>
    </sheetView>
  </sheetViews>
  <sheetFormatPr baseColWidth="8" defaultRowHeight="15"/>
  <cols>
    <col width="34" customWidth="1" min="1" max="1"/>
    <col width="34" customWidth="1" min="2" max="2"/>
  </cols>
  <sheetData>
    <row r="1">
      <c r="A1" s="25" t="inlineStr">
        <is>
          <t>xlwings Lite - requirements &amp; code (paste-once)</t>
        </is>
      </c>
    </row>
    <row r="2"/>
    <row r="3">
      <c r="A3" s="3" t="inlineStr">
        <is>
          <t>Requirements (xlwings Lite -&gt; Environment)</t>
        </is>
      </c>
    </row>
    <row r="4">
      <c r="A4" s="33" t="inlineStr">
        <is>
          <t>numpy</t>
        </is>
      </c>
    </row>
    <row r="5">
      <c r="A5" s="33" t="inlineStr">
        <is>
          <t>scipy</t>
        </is>
      </c>
    </row>
    <row r="6">
      <c r="A6" s="33" t="inlineStr">
        <is>
          <t>Pyodide runtime: 314.0.1  (ratified Q4; do not float)</t>
        </is>
      </c>
    </row>
    <row r="7"/>
    <row r="8">
      <c r="A8" s="3" t="inlineStr">
        <is>
          <t>How to load the model code</t>
        </is>
      </c>
    </row>
    <row r="9" ht="60" customHeight="1">
      <c r="A9" s="34" t="inlineStr">
        <is>
          <t>Generate the pasteable script with  python tools/make_qra_xlwings.py  -&gt;  dist/qra_xlwings_combined.py, then paste it into the xlwings Lite editor. That generated file is the source of truth (byte-parity gated to the repo engine); do not hand-edit. The text below is a human-readable convenience copy of the @script entry points only.</t>
        </is>
      </c>
    </row>
    <row r="10"/>
    <row r="11">
      <c r="A11" s="3" t="inlineStr">
        <is>
          <t>Buttons (xlwings Lite task pane - one per @script)</t>
        </is>
      </c>
    </row>
    <row r="12">
      <c r="A12" s="35" t="inlineStr">
        <is>
          <t>Run Simulation</t>
        </is>
      </c>
      <c r="B12" s="2" t="inlineStr">
        <is>
          <t>cost-QRA at the interactive count (Settings B1 / Set_iterations, default 25,000).</t>
        </is>
      </c>
    </row>
    <row r="13">
      <c r="A13" s="35" t="inlineStr">
        <is>
          <t>Run Simulation 100k</t>
        </is>
      </c>
      <c r="B13" s="2" t="inlineStr">
        <is>
          <t>cost-QRA at the on-demand 100,000 count (Settings B5 / Set_iterations_max) - the deliverable run.</t>
        </is>
      </c>
    </row>
    <row r="14">
      <c r="A14" s="35" t="inlineStr">
        <is>
          <t>Validate Contract</t>
        </is>
      </c>
      <c r="B14" s="2" t="inlineStr">
        <is>
          <t>self-check the named-range contract + version + methodology; writes PASS/FAIL to Out_validation.</t>
        </is>
      </c>
    </row>
    <row r="15"/>
    <row r="16">
      <c r="A16" s="3" t="inlineStr">
        <is>
          <t>src/tier1_xlwings_shell.py (@script source - convenience copy)</t>
        </is>
      </c>
    </row>
    <row r="17">
      <c r="A17" s="33" t="inlineStr">
        <is>
          <t>"""QRAXL-01 Tier-1 xlwings Lite shell (front-end I/O layer).</t>
        </is>
      </c>
    </row>
    <row r="18">
      <c r="A18" s="33" t="n"/>
    </row>
    <row r="19">
      <c r="A19" s="33" t="inlineStr">
        <is>
          <t>The @script entry point the xlwings Lite runtime calls with the open workbook.</t>
        </is>
      </c>
    </row>
    <row r="20">
      <c r="A20" s="33" t="inlineStr">
        <is>
          <t>It reads the contract-v2 register via xlwings ranges, feeds the cell GRIDS to the</t>
        </is>
      </c>
    </row>
    <row r="21">
      <c r="A21" s="33" t="inlineStr">
        <is>
          <t>SHARED parser (``qra_register_parse`` - the same one Tier 2 uses, so Tier-1 ==</t>
        </is>
      </c>
    </row>
    <row r="22">
      <c r="A22" s="33" t="inlineStr">
        <is>
          <t>Tier-2 on the read side by construction), then runs ``qra_core`` and writes the</t>
        </is>
      </c>
    </row>
    <row r="23">
      <c r="A23" s="33" t="inlineStr">
        <is>
          <t>P-curve back.</t>
        </is>
      </c>
    </row>
    <row r="24">
      <c r="A24" s="33" t="n"/>
    </row>
    <row r="25">
      <c r="A25" s="33" t="inlineStr">
        <is>
          <t>The @script is a THIN I/O wrapper over the headless-testable</t>
        </is>
      </c>
    </row>
    <row r="26">
      <c r="A26" s="33" t="inlineStr">
        <is>
          <t>``tier1_headless.run_headless`` (read ranges -&gt; call the headless run -&gt; write</t>
        </is>
      </c>
    </row>
    <row r="27">
      <c r="A27" s="33" t="inlineStr">
        <is>
          <t>ranges), mirroring RF-01 (rf_headless.py is the runner, shell_xlwings.py the</t>
        </is>
      </c>
    </row>
    <row r="28">
      <c r="A28" s="33" t="inlineStr">
        <is>
          <t>I/O). CI covers the compute + formatting; only the literal xlwings range read/</t>
        </is>
      </c>
    </row>
    <row r="29">
      <c r="A29" s="33" t="inlineStr">
        <is>
          <t>write is Excel-only. ``qra_core``, the parser and the resolver stay Pyodide-</t>
        </is>
      </c>
    </row>
    <row r="30">
      <c r="A30" s="33" t="inlineStr">
        <is>
          <t>clean; only THIS shell imports xlwings.</t>
        </is>
      </c>
    </row>
    <row r="31">
      <c r="A31" s="33" t="inlineStr">
        <is>
          <t>"""</t>
        </is>
      </c>
    </row>
    <row r="32">
      <c r="A32" s="33" t="n"/>
    </row>
    <row r="33">
      <c r="A33" s="33" t="inlineStr">
        <is>
          <t>from __future__ import annotations</t>
        </is>
      </c>
    </row>
    <row r="34">
      <c r="A34" s="33" t="n"/>
    </row>
    <row r="35">
      <c r="A35" s="33" t="inlineStr">
        <is>
          <t>import xlwings as xw</t>
        </is>
      </c>
    </row>
    <row r="36">
      <c r="A36" s="33" t="inlineStr">
        <is>
          <t>from xlwings import script</t>
        </is>
      </c>
    </row>
    <row r="37">
      <c r="A37" s="33" t="n"/>
    </row>
    <row r="38">
      <c r="A38" s="33" t="inlineStr">
        <is>
          <t>from src.qra_register_parse import RISK_REGISTER_SHEET, _LAYER1_SHEETS</t>
        </is>
      </c>
    </row>
    <row r="39">
      <c r="A39" s="33" t="inlineStr">
        <is>
          <t>from src.register_contract import (</t>
        </is>
      </c>
    </row>
    <row r="40">
      <c r="A40" s="33" t="inlineStr">
        <is>
          <t xml:space="preserve">    LAYER1_ENABLED_NAME, check_contract, layer1_enabled_flag,</t>
        </is>
      </c>
    </row>
    <row r="41">
      <c r="A41" s="33" t="inlineStr">
        <is>
          <t>)</t>
        </is>
      </c>
    </row>
    <row r="42">
      <c r="A42" s="33" t="inlineStr">
        <is>
          <t>from src.tier1_headless import METHODOLOGY_SHEET_TITLE, run_headless</t>
        </is>
      </c>
    </row>
    <row r="43">
      <c r="A43" s="33" t="n"/>
    </row>
    <row r="44">
      <c r="A44" s="33" t="inlineStr">
        <is>
          <t># ---------------------------------------------------------------------------</t>
        </is>
      </c>
    </row>
    <row r="45">
      <c r="A45" s="33" t="inlineStr">
        <is>
          <t># xlwings Lite COMPATIBILITY (this class of defect cannot be caught headless)</t>
        </is>
      </c>
    </row>
    <row r="46">
      <c r="A46" s="33" t="inlineStr">
        <is>
          <t># ---------------------------------------------------------------------------</t>
        </is>
      </c>
    </row>
    <row r="47">
      <c r="A47" s="33" t="inlineStr">
        <is>
          <t># xlwings Lite's Office.js backend does NOT implement several classic xlwings</t>
        </is>
      </c>
    </row>
    <row r="48">
      <c r="A48" s="33" t="inlineStr">
        <is>
          <t># Sheet APIs. The Tier-1 shell MUST NOT use any of these (they raise a</t>
        </is>
      </c>
    </row>
    <row r="49">
      <c r="A49" s="33" t="inlineStr">
        <is>
          <t># base-class NotImplementedError only at runtime in Excel - the headless gates</t>
        </is>
      </c>
    </row>
    <row r="50">
      <c r="A50" s="33" t="inlineStr">
        <is>
          <t># read via openpyxl and never exercise them):</t>
        </is>
      </c>
    </row>
    <row r="51">
      <c r="A51" s="33" t="inlineStr">
        <is>
          <t>#</t>
        </is>
      </c>
    </row>
    <row r="52">
      <c r="A52" s="33" t="inlineStr">
        <is>
          <t>#   FORBIDDEN in Lite:  sheet.used_range   (xlwings-lite discussion #19)</t>
        </is>
      </c>
    </row>
    <row r="53">
      <c r="A53" s="33" t="inlineStr">
        <is>
          <t>#                       sheet.copy()</t>
        </is>
      </c>
    </row>
    <row r="54">
      <c r="A54" s="33" t="inlineStr">
        <is>
          <t>#                       sheet.api / Office.js getUsedRange (`.api` unsupported)</t>
        </is>
      </c>
    </row>
    <row r="55">
      <c r="A55" s="33" t="inlineStr">
        <is>
          <t>#</t>
        </is>
      </c>
    </row>
    <row r="56">
      <c r="A56" s="33" t="inlineStr">
        <is>
          <t># SUPPORTED reads/writes used here: named ranges via book.names[nm].</t>
        </is>
      </c>
    </row>
    <row r="57">
      <c r="A57" s="33" t="inlineStr">
        <is>
          <t># refers_to_range (Set_*, Out_*, Grid_RiskRegister, Grid_Methodology), and a FIXED</t>
        </is>
      </c>
    </row>
    <row r="58">
      <c r="A58" s="33" t="inlineStr">
        <is>
          <t># A1-anchored address read via book.sheets[name].range("A1:..") (Office.js getRange -</t>
        </is>
      </c>
    </row>
    <row r="59">
      <c r="A59" s="33" t="inlineStr">
        <is>
          <t># NOT getUsedRange). The grids are anchored at $A$1 (the parser uses ABSOLUTE Excel</t>
        </is>
      </c>
    </row>
    <row r="60">
      <c r="A60" s="33" t="inlineStr">
        <is>
          <t># row indices, so the grid must be row-1-aligned).</t>
        </is>
      </c>
    </row>
    <row r="61">
      <c r="A61" s="33" t="inlineStr">
        <is>
          <t>#</t>
        </is>
      </c>
    </row>
    <row r="62">
      <c r="A62" s="33" t="inlineStr">
        <is>
          <t># REG05-A2-FIX (D1): the Layer-1 sheets are read via their whole USED RANGE (a</t>
        </is>
      </c>
    </row>
    <row r="63">
      <c r="A63" s="33" t="inlineStr">
        <is>
          <t># generous fixed A1 block, see _sheet_grid), NOT the fixed Grid_Layer1_* names. The</t>
        </is>
      </c>
    </row>
    <row r="64">
      <c r="A64" s="33" t="inlineStr">
        <is>
          <t># Grid_Layer1_* names are sized to the empty template's header-only shell and do NOT</t>
        </is>
      </c>
    </row>
    <row r="65">
      <c r="A65" s="33" t="inlineStr">
        <is>
          <t># grow when the user fills the sheets, so a name-read saw only the shell (base sum</t>
        </is>
      </c>
    </row>
    <row r="66">
      <c r="A66" s="33" t="inlineStr">
        <is>
          <t># 3.9M != declared 50M, 0 factors, empty allocation). The used-range read grows with</t>
        </is>
      </c>
    </row>
    <row r="67">
      <c r="A67" s="33" t="inlineStr">
        <is>
          <t># the fill and matches tier1_headless.extract_grids_openpyxl. The Grid_Layer1_* names</t>
        </is>
      </c>
    </row>
    <row r="68">
      <c r="A68" s="33" t="inlineStr">
        <is>
          <t># stay EMITTED (contract v1.4 / Validate) - a contract surface, just not the read</t>
        </is>
      </c>
    </row>
    <row r="69">
      <c r="A69" s="33" t="inlineStr">
        <is>
          <t># source. Not .expand() (truncates at the V5 layout's interior blank rows) and not</t>
        </is>
      </c>
    </row>
    <row r="70">
      <c r="A70" s="33" t="inlineStr">
        <is>
          <t># .used_range/.api (Lite-forbidden); the parser trims trailing blanks, so an</t>
        </is>
      </c>
    </row>
    <row r="71">
      <c r="A71" s="33" t="inlineStr">
        <is>
          <t># over-extended fixed block is harmless.</t>
        </is>
      </c>
    </row>
    <row r="72">
      <c r="A72" s="33" t="inlineStr">
        <is>
          <t>_GRID_NAMES: dict[str, str] = {</t>
        </is>
      </c>
    </row>
    <row r="73">
      <c r="A73" s="33" t="inlineStr">
        <is>
          <t xml:space="preserve">    RISK_REGISTER_SHEET: "Grid_RiskRegister",</t>
        </is>
      </c>
    </row>
    <row r="74">
      <c r="A74" s="33" t="inlineStr">
        <is>
          <t xml:space="preserve">    METHODOLOGY_SHEET_TITLE: "Grid_Methodology",</t>
        </is>
      </c>
    </row>
    <row r="75">
      <c r="A75" s="33" t="inlineStr">
        <is>
          <t>}</t>
        </is>
      </c>
    </row>
    <row r="76">
      <c r="A76" s="33" t="n"/>
    </row>
    <row r="77">
      <c r="A77" s="33" t="inlineStr">
        <is>
          <t># Fixed A1-anchored block for the Layer-1 used-range read (rows x cols). Must</t>
        </is>
      </c>
    </row>
    <row r="78">
      <c r="A78" s="33" t="inlineStr">
        <is>
          <t># comfortably exceed any realistic Layer-1 extent (cost columns, WBS rows, factors -</t>
        </is>
      </c>
    </row>
    <row r="79">
      <c r="A79" s="33" t="inlineStr">
        <is>
          <t># a compact factor model, never a large table); the parser trims trailing blanks.</t>
        </is>
      </c>
    </row>
    <row r="80">
      <c r="A80" s="33" t="inlineStr">
        <is>
          <t># Parked robust option (brief §2.1): dynamic OFFSET Grid_Layer1_* names.</t>
        </is>
      </c>
    </row>
    <row r="81">
      <c r="A81" s="33" t="inlineStr">
        <is>
          <t>_LAYER1_READ_RANGE = "A1:AX200"  # AX = col 50; 200 rows</t>
        </is>
      </c>
    </row>
    <row r="82">
      <c r="A82" s="33" t="n"/>
    </row>
    <row r="83">
      <c r="A83" s="33" t="n"/>
    </row>
    <row r="84">
      <c r="A84" s="33" t="inlineStr">
        <is>
          <t>def _range_grid(book, range_name: str):</t>
        </is>
      </c>
    </row>
    <row r="85">
      <c r="A85" s="33" t="inlineStr">
        <is>
          <t xml:space="preserve">    """Read a named range's values as a 2D grid (list of row-lists). Returns []</t>
        </is>
      </c>
    </row>
    <row r="86">
      <c r="A86" s="33" t="inlineStr">
        <is>
          <t xml:space="preserve">    if the named range is absent. Lite-safe (named-range read only)."""</t>
        </is>
      </c>
    </row>
    <row r="87">
      <c r="A87" s="33" t="inlineStr">
        <is>
          <t xml:space="preserve">    try:</t>
        </is>
      </c>
    </row>
    <row r="88">
      <c r="A88" s="33" t="inlineStr">
        <is>
          <t xml:space="preserve">        rng = book.names[range_name].refers_to_range</t>
        </is>
      </c>
    </row>
    <row r="89">
      <c r="A89" s="33" t="inlineStr">
        <is>
          <t xml:space="preserve">    except (KeyError, Exception):  # noqa: BLE001 - Lite raises varied types on a missing name</t>
        </is>
      </c>
    </row>
    <row r="90">
      <c r="A90" s="33" t="inlineStr">
        <is>
          <t xml:space="preserve">        return []</t>
        </is>
      </c>
    </row>
    <row r="91">
      <c r="A91" s="33" t="inlineStr">
        <is>
          <t xml:space="preserve">    v = rng.value</t>
        </is>
      </c>
    </row>
    <row r="92">
      <c r="A92" s="33" t="inlineStr">
        <is>
          <t xml:space="preserve">    if v is None:</t>
        </is>
      </c>
    </row>
    <row r="93">
      <c r="A93" s="33" t="inlineStr">
        <is>
          <t xml:space="preserve">        return []</t>
        </is>
      </c>
    </row>
    <row r="94">
      <c r="A94" s="33" t="inlineStr">
        <is>
          <t xml:space="preserve">    if not isinstance(v, list):</t>
        </is>
      </c>
    </row>
    <row r="95">
      <c r="A95" s="33" t="inlineStr">
        <is>
          <t xml:space="preserve">        return [[v]]  # single cell</t>
        </is>
      </c>
    </row>
    <row r="96">
      <c r="A96" s="33" t="inlineStr">
        <is>
          <t xml:space="preserve">    if v and not isinstance(v[0], list):</t>
        </is>
      </c>
    </row>
    <row r="97">
      <c r="A97" s="33" t="inlineStr">
        <is>
          <t xml:space="preserve">        v = [v]  # xlwings collapses a single row to 1D; re-wrap to 2D</t>
        </is>
      </c>
    </row>
    <row r="98">
      <c r="A98" s="33" t="inlineStr">
        <is>
          <t xml:space="preserve">    return v</t>
        </is>
      </c>
    </row>
    <row r="99">
      <c r="A99" s="33" t="n"/>
    </row>
    <row r="100">
      <c r="A100" s="33" t="n"/>
    </row>
    <row r="101">
      <c r="A101" s="33" t="inlineStr">
        <is>
          <t>def _sheet_grid(book, sheet_name: str):</t>
        </is>
      </c>
    </row>
    <row r="102">
      <c r="A102" s="33" t="inlineStr">
        <is>
          <t xml:space="preserve">    """Read a whole Layer-1 sheet as a 2D grid over a generous FIXED A1-anchored</t>
        </is>
      </c>
    </row>
    <row r="103">
      <c r="A103" s="33" t="inlineStr">
        <is>
          <t xml:space="preserve">    block (:data:`_LAYER1_READ_RANGE`). Lite-safe: an explicit address via</t>
        </is>
      </c>
    </row>
    <row r="104">
      <c r="A104" s="33" t="inlineStr">
        <is>
          <t xml:space="preserve">    ``book.sheets[name].range(addr)`` (Office.js getRange), never the Lite-forbidden</t>
        </is>
      </c>
    </row>
    <row r="105">
      <c r="A105" s="33" t="inlineStr">
        <is>
          <t xml:space="preserve">    whole-sheet readers listed in this module's header. Grows with the user's fill</t>
        </is>
      </c>
    </row>
    <row r="106">
      <c r="A106" s="33" t="inlineStr">
        <is>
          <t xml:space="preserve">    where the fixed ``Grid_Layer1_*`` name would not (REG05-A2-FIX D1); the parser</t>
        </is>
      </c>
    </row>
    <row r="107">
      <c r="A107" s="33" t="inlineStr">
        <is>
          <t xml:space="preserve">    trims trailing blanks, so over-covering is harmless. ``[]`` if the sheet absent."""</t>
        </is>
      </c>
    </row>
    <row r="108">
      <c r="A108" s="33" t="inlineStr">
        <is>
          <t xml:space="preserve">    try:</t>
        </is>
      </c>
    </row>
    <row r="109">
      <c r="A109" s="33" t="inlineStr">
        <is>
          <t xml:space="preserve">        sht = book.sheets[sheet_name]</t>
        </is>
      </c>
    </row>
    <row r="110">
      <c r="A110" s="33" t="inlineStr">
        <is>
          <t xml:space="preserve">    except (KeyError, Exception):  # noqa: BLE001 - Lite raises varied types when absent</t>
        </is>
      </c>
    </row>
    <row r="111">
      <c r="A111" s="33" t="inlineStr">
        <is>
          <t xml:space="preserve">        return []</t>
        </is>
      </c>
    </row>
    <row r="112">
      <c r="A112" s="33" t="inlineStr">
        <is>
          <t xml:space="preserve">    try:</t>
        </is>
      </c>
    </row>
    <row r="113">
      <c r="A113" s="33" t="inlineStr">
        <is>
          <t xml:space="preserve">        v = sht.range(_LAYER1_READ_RANGE).value</t>
        </is>
      </c>
    </row>
    <row r="114">
      <c r="A114" s="33" t="inlineStr">
        <is>
          <t xml:space="preserve">    except Exception:  # noqa: BLE001 - a missing/empty sheet range reads as nothing</t>
        </is>
      </c>
    </row>
    <row r="115">
      <c r="A115" s="33" t="inlineStr">
        <is>
          <t xml:space="preserve">        return []</t>
        </is>
      </c>
    </row>
    <row r="116">
      <c r="A116" s="33" t="inlineStr">
        <is>
          <t xml:space="preserve">    if v is None:</t>
        </is>
      </c>
    </row>
    <row r="117">
      <c r="A117" s="33" t="inlineStr">
        <is>
          <t xml:space="preserve">        return []</t>
        </is>
      </c>
    </row>
    <row r="118">
      <c r="A118" s="33" t="inlineStr">
        <is>
          <t xml:space="preserve">    if not isinstance(v, list):</t>
        </is>
      </c>
    </row>
    <row r="119">
      <c r="A119" s="33" t="inlineStr">
        <is>
          <t xml:space="preserve">        v = [[v]]                       # single cell</t>
        </is>
      </c>
    </row>
    <row r="120">
      <c r="A120" s="33" t="inlineStr">
        <is>
          <t xml:space="preserve">    elif v and not isinstance(v[0], list):</t>
        </is>
      </c>
    </row>
    <row r="121">
      <c r="A121" s="33" t="inlineStr">
        <is>
          <t xml:space="preserve">        v = [v]                         # xlwings collapses a single row to 1D</t>
        </is>
      </c>
    </row>
    <row r="122">
      <c r="A122" s="33" t="inlineStr">
        <is>
          <t xml:space="preserve">    # trim trailing all-blank rows so the grid matches the openpyxl used range.</t>
        </is>
      </c>
    </row>
    <row r="123">
      <c r="A123" s="33" t="inlineStr">
        <is>
          <t xml:space="preserve">    while v and all(c is None for c in v[-1]):</t>
        </is>
      </c>
    </row>
    <row r="124">
      <c r="A124" s="33" t="inlineStr">
        <is>
          <t xml:space="preserve">        v.pop()</t>
        </is>
      </c>
    </row>
    <row r="125">
      <c r="A125" s="33" t="inlineStr">
        <is>
          <t xml:space="preserve">    return v</t>
        </is>
      </c>
    </row>
    <row r="126">
      <c r="A126" s="33" t="n"/>
    </row>
    <row r="127">
      <c r="A127" s="33" t="n"/>
    </row>
    <row r="128">
      <c r="A128" s="33" t="inlineStr">
        <is>
          <t>def read_grids_xlwings(book) -&gt; dict:</t>
        </is>
      </c>
    </row>
    <row r="129">
      <c r="A129" s="33" t="inlineStr">
        <is>
          <t xml:space="preserve">    """Tier-1 grid extraction (the Lite-safe analogue of</t>
        </is>
      </c>
    </row>
    <row r="130">
      <c r="A130" s="33" t="inlineStr">
        <is>
          <t xml:space="preserve">    ``tier1_headless.extract_grids_openpyxl``). Risk register + methodology via their</t>
        </is>
      </c>
    </row>
    <row r="131">
      <c r="A131" s="33" t="inlineStr">
        <is>
          <t xml:space="preserve">    ``Grid_*`` named ranges (sized to extent at build); the Layer-1 sheets via their</t>
        </is>
      </c>
    </row>
    <row r="132">
      <c r="A132" s="33" t="inlineStr">
        <is>
          <t xml:space="preserve">    whole USED RANGE (:func:`_sheet_grid`, REG05-A2-FIX D1). Same grids, same parser.</t>
        </is>
      </c>
    </row>
    <row r="133">
      <c r="A133" s="33" t="inlineStr">
        <is>
          <t xml:space="preserve">    A client register with no Layer-1 sheets -&gt; ``layer1={}`` -&gt; Layer 1 OFF, as Tier 2.</t>
        </is>
      </c>
    </row>
    <row r="134">
      <c r="A134" s="33" t="n"/>
    </row>
    <row r="135">
      <c r="A135" s="33" t="inlineStr">
        <is>
          <t xml:space="preserve">    REG05-A2 §3.2: read ``Set_Layer1_Enabled`` and thread it in as</t>
        </is>
      </c>
    </row>
    <row r="136">
      <c r="A136" s="33" t="inlineStr">
        <is>
          <t xml:space="preserve">    ``layer1_enabled``; when not TRUE, pass ``layer1={}`` so the shared parse gate</t>
        </is>
      </c>
    </row>
    <row r="137">
      <c r="A137" s="33" t="inlineStr">
        <is>
          <t xml:space="preserve">    returns None (an empty, present-but-disabled Layer-1 is a read no-op)."""</t>
        </is>
      </c>
    </row>
    <row r="138">
      <c r="A138" s="33" t="inlineStr">
        <is>
          <t xml:space="preserve">    enabled = layer1_enabled_flag(_named_value(book, LAYER1_ENABLED_NAME))</t>
        </is>
      </c>
    </row>
    <row r="139">
      <c r="A139" s="33" t="inlineStr">
        <is>
          <t xml:space="preserve">    layer1 = (</t>
        </is>
      </c>
    </row>
    <row r="140">
      <c r="A140" s="33" t="inlineStr">
        <is>
          <t xml:space="preserve">        {</t>
        </is>
      </c>
    </row>
    <row r="141">
      <c r="A141" s="33" t="inlineStr">
        <is>
          <t xml:space="preserve">            sheet: _sheet_grid(book, sheet)</t>
        </is>
      </c>
    </row>
    <row r="142">
      <c r="A142" s="33" t="inlineStr">
        <is>
          <t xml:space="preserve">            for sheet in _LAYER1_SHEETS</t>
        </is>
      </c>
    </row>
    <row r="143">
      <c r="A143" s="33" t="inlineStr">
        <is>
          <t xml:space="preserve">            if _sheet_grid(book, sheet)</t>
        </is>
      </c>
    </row>
    <row r="144">
      <c r="A144" s="33" t="inlineStr">
        <is>
          <t xml:space="preserve">        }</t>
        </is>
      </c>
    </row>
    <row r="145">
      <c r="A145" s="33" t="inlineStr">
        <is>
          <t xml:space="preserve">        if enabled else {}</t>
        </is>
      </c>
    </row>
    <row r="146">
      <c r="A146" s="33" t="inlineStr">
        <is>
          <t xml:space="preserve">    )</t>
        </is>
      </c>
    </row>
    <row r="147">
      <c r="A147" s="33" t="inlineStr">
        <is>
          <t xml:space="preserve">    return {</t>
        </is>
      </c>
    </row>
    <row r="148">
      <c r="A148" s="33" t="inlineStr">
        <is>
          <t xml:space="preserve">        "risk_register": _range_grid(book, _GRID_NAMES[RISK_REGISTER_SHEET]),</t>
        </is>
      </c>
    </row>
    <row r="149">
      <c r="A149" s="33" t="inlineStr">
        <is>
          <t xml:space="preserve">        "layer1": layer1,</t>
        </is>
      </c>
    </row>
    <row r="150">
      <c r="A150" s="33" t="inlineStr">
        <is>
          <t xml:space="preserve">        "layer1_enabled": enabled,</t>
        </is>
      </c>
    </row>
    <row r="151">
      <c r="A151" s="33" t="inlineStr">
        <is>
          <t xml:space="preserve">        # GD-B: the register's own methodology surface (CG coeffs + mode</t>
        </is>
      </c>
    </row>
    <row r="152">
      <c r="A152" s="33" t="inlineStr">
        <is>
          <t xml:space="preserve">        # multipliers). Absent -&gt; [] -&gt; the resolver fails loud (no fallback).</t>
        </is>
      </c>
    </row>
    <row r="153">
      <c r="A153" s="33" t="inlineStr">
        <is>
          <t xml:space="preserve">        "methodology": _range_grid(book, _GRID_NAMES[METHODOLOGY_SHEET_TITLE]),</t>
        </is>
      </c>
    </row>
    <row r="154">
      <c r="A154" s="33" t="inlineStr">
        <is>
          <t xml:space="preserve">    }</t>
        </is>
      </c>
    </row>
    <row r="155">
      <c r="A155" s="33" t="n"/>
    </row>
    <row r="156">
      <c r="A156" s="33" t="n"/>
    </row>
    <row r="157">
      <c r="A157" s="33" t="inlineStr">
        <is>
          <t>def _named_value(book, name):</t>
        </is>
      </c>
    </row>
    <row r="158">
      <c r="A158" s="33" t="inlineStr">
        <is>
          <t xml:space="preserve">    """Read a named-range scalar value (Lite-safe). Returns None if absent."""</t>
        </is>
      </c>
    </row>
    <row r="159">
      <c r="A159" s="33" t="inlineStr">
        <is>
          <t xml:space="preserve">    try:</t>
        </is>
      </c>
    </row>
    <row r="160">
      <c r="A160" s="33" t="inlineStr">
        <is>
          <t xml:space="preserve">        return book.names[name].refers_to_range.value</t>
        </is>
      </c>
    </row>
    <row r="161">
      <c r="A161" s="33" t="inlineStr">
        <is>
          <t xml:space="preserve">    except Exception:  # noqa: BLE001 - Lite raises varied types on a missing name</t>
        </is>
      </c>
    </row>
    <row r="162">
      <c r="A162" s="33" t="inlineStr">
        <is>
          <t xml:space="preserve">        return None</t>
        </is>
      </c>
    </row>
    <row r="163">
      <c r="A163" s="33" t="n"/>
    </row>
    <row r="164">
      <c r="A164" s="33" t="n"/>
    </row>
    <row r="165">
      <c r="A165" s="33" t="inlineStr">
        <is>
          <t>def _pad(rows2d: list, nrows: int, ncols: int) -&gt; list:</t>
        </is>
      </c>
    </row>
    <row r="166">
      <c r="A166" s="33" t="inlineStr">
        <is>
          <t xml:space="preserve">    """Truncate/pad a 2D list to (nrows, ncols) with None so the write matches</t>
        </is>
      </c>
    </row>
    <row r="167">
      <c r="A167" s="33" t="inlineStr">
        <is>
          <t xml:space="preserve">    the fixed named-range shape (RF-01 pattern)."""</t>
        </is>
      </c>
    </row>
    <row r="168">
      <c r="A168" s="33" t="inlineStr">
        <is>
          <t xml:space="preserve">    out = []</t>
        </is>
      </c>
    </row>
    <row r="169">
      <c r="A169" s="33" t="inlineStr">
        <is>
          <t xml:space="preserve">    for i in range(nrows):</t>
        </is>
      </c>
    </row>
    <row r="170">
      <c r="A170" s="33" t="inlineStr">
        <is>
          <t xml:space="preserve">        row = list(rows2d[i]) if i &lt; len(rows2d) else []</t>
        </is>
      </c>
    </row>
    <row r="171">
      <c r="A171" s="33" t="inlineStr">
        <is>
          <t xml:space="preserve">        out.append([(row[j] if j &lt; len(row) else None) for j in range(ncols)])</t>
        </is>
      </c>
    </row>
    <row r="172">
      <c r="A172" s="33" t="inlineStr">
        <is>
          <t xml:space="preserve">    return out</t>
        </is>
      </c>
    </row>
    <row r="173">
      <c r="A173" s="33" t="n"/>
    </row>
    <row r="174">
      <c r="A174" s="33" t="n"/>
    </row>
    <row r="175">
      <c r="A175" s="33" t="inlineStr">
        <is>
          <t>def _run_and_write(book, iterations_name: str, default_iter: int):</t>
        </is>
      </c>
    </row>
    <row r="176">
      <c r="A176" s="33" t="inlineStr">
        <is>
          <t xml:space="preserve">    """Shared run path for the run buttons: read Set_* ranges -&gt; run_headless -&gt;</t>
        </is>
      </c>
    </row>
    <row r="177">
      <c r="A177" s="33" t="inlineStr">
        <is>
          <t xml:space="preserve">    write Out_* ranges. ``iterations_name`` selects which Settings cell drives the</t>
        </is>
      </c>
    </row>
    <row r="178">
      <c r="A178" s="33" t="inlineStr">
        <is>
          <t xml:space="preserve">    iteration count (Set_iterations = interactive default; Set_iterations_max =</t>
        </is>
      </c>
    </row>
    <row r="179">
      <c r="A179" s="33" t="inlineStr">
        <is>
          <t xml:space="preserve">    the 100k button). Named-range reads/writes only (Lite-safe)."""</t>
        </is>
      </c>
    </row>
    <row r="180">
      <c r="A180" s="33" t="inlineStr">
        <is>
          <t xml:space="preserve">    grids = read_grids_xlwings(book)</t>
        </is>
      </c>
    </row>
    <row r="181">
      <c r="A181" s="33" t="n"/>
    </row>
    <row r="182">
      <c r="A182" s="33" t="inlineStr">
        <is>
          <t xml:space="preserve">    def R(nm):</t>
        </is>
      </c>
    </row>
    <row r="183">
      <c r="A183" s="33" t="inlineStr">
        <is>
          <t xml:space="preserve">        return book.names[nm].refers_to_range</t>
        </is>
      </c>
    </row>
    <row r="184">
      <c r="A184" s="33" t="n"/>
    </row>
    <row r="185">
      <c r="A185" s="33" t="inlineStr">
        <is>
          <t xml:space="preserve">    def _named(nm, default):</t>
        </is>
      </c>
    </row>
    <row r="186">
      <c r="A186" s="33" t="inlineStr">
        <is>
          <t xml:space="preserve">        try:</t>
        </is>
      </c>
    </row>
    <row r="187">
      <c r="A187" s="33" t="inlineStr">
        <is>
          <t xml:space="preserve">            return R(nm).value</t>
        </is>
      </c>
    </row>
    <row r="188">
      <c r="A188" s="33" t="inlineStr">
        <is>
          <t xml:space="preserve">        except Exception:</t>
        </is>
      </c>
    </row>
    <row r="189">
      <c r="A189" s="33" t="inlineStr">
        <is>
          <t xml:space="preserve">            return default</t>
        </is>
      </c>
    </row>
    <row r="190">
      <c r="A190" s="33" t="n"/>
    </row>
    <row r="191">
      <c r="A191" s="33" t="inlineStr">
        <is>
          <t xml:space="preserve">    n_iter = int(_named(iterations_name, default_iter) or default_iter)</t>
        </is>
      </c>
    </row>
    <row r="192">
      <c r="A192" s="33" t="inlineStr">
        <is>
          <t xml:space="preserve">    seed = int(_named("Set_seed", 42) or 42)</t>
        </is>
      </c>
    </row>
    <row r="193">
      <c r="A193" s="33" t="inlineStr">
        <is>
          <t xml:space="preserve">    view = str(_named("Set_view", "owner") or "owner").strip().lower()</t>
        </is>
      </c>
    </row>
    <row r="194">
      <c r="A194" s="33" t="inlineStr">
        <is>
          <t xml:space="preserve">    # GENERIC-01: no fallback. `Set_risk_prefix` is contract-required, and defaulting it to the</t>
        </is>
      </c>
    </row>
    <row r="195">
      <c r="A195" s="33" t="inlineStr">
        <is>
          <t xml:space="preserve">    # wind project's "WT" meant a register that omitted it had every risk row read against another</t>
        </is>
      </c>
    </row>
    <row r="196">
      <c r="A196" s="33" t="inlineStr">
        <is>
          <t xml:space="preserve">    # project's prefix, matched none, and returned an EMPTY result rather than an error - a wrong</t>
        </is>
      </c>
    </row>
    <row r="197">
      <c r="A197" s="33" t="inlineStr">
        <is>
          <t xml:space="preserve">    # answer where the missing range should have been a refusal.</t>
        </is>
      </c>
    </row>
    <row r="198">
      <c r="A198" s="33" t="inlineStr">
        <is>
          <t xml:space="preserve">    prefix = str(_named("Set_risk_prefix", "") or "").strip()</t>
        </is>
      </c>
    </row>
    <row r="199">
      <c r="A199" s="33" t="inlineStr">
        <is>
          <t xml:space="preserve">    if not prefix:</t>
        </is>
      </c>
    </row>
    <row r="200">
      <c r="A200" s="33" t="inlineStr">
        <is>
          <t xml:space="preserve">        raise ValueError(</t>
        </is>
      </c>
    </row>
    <row r="201">
      <c r="A201" s="33" t="inlineStr">
        <is>
          <t xml:space="preserve">            "Set_risk_prefix is missing or empty. It is required by the register contract and "</t>
        </is>
      </c>
    </row>
    <row r="202">
      <c r="A202" s="33" t="inlineStr">
        <is>
          <t xml:space="preserve">            "there is no default: a prefix borrowed from another project would match no risk "</t>
        </is>
      </c>
    </row>
    <row r="203">
      <c r="A203" s="33" t="inlineStr">
        <is>
          <t xml:space="preserve">            "rows and report an empty register as though it were a result.")</t>
        </is>
      </c>
    </row>
    <row r="204">
      <c r="A204" s="33" t="n"/>
    </row>
    <row r="205">
      <c r="A205" s="33" t="inlineStr">
        <is>
          <t xml:space="preserve">    # The ENTIRE compute + formatting is the headless core (CI-covered). This</t>
        </is>
      </c>
    </row>
    <row r="206">
      <c r="A206" s="33" t="inlineStr">
        <is>
          <t xml:space="preserve">    # wrapper only reads the ranges above and writes the ranges below.</t>
        </is>
      </c>
    </row>
    <row r="207">
      <c r="A207" s="33" t="inlineStr">
        <is>
          <t xml:space="preserve">    out = run_headless(grids, risk_id_prefix=prefix, n_iter=n_iter, seed=seed, view=view)</t>
        </is>
      </c>
    </row>
    <row r="208">
      <c r="A208" s="33" t="n"/>
    </row>
    <row r="209">
      <c r="A209" s="33" t="inlineStr">
        <is>
          <t xml:space="preserve">    R("Out_ptable").value = _pad(out["p_table"], 19, 2)</t>
        </is>
      </c>
    </row>
    <row r="210">
      <c r="A210" s="33" t="inlineStr">
        <is>
          <t xml:space="preserve">    R("Out_scurve").value = _pad(</t>
        </is>
      </c>
    </row>
    <row r="211">
      <c r="A211" s="33" t="inlineStr">
        <is>
          <t xml:space="preserve">        list(zip(out["s_curve"]["prob"], out["s_curve"]["value"])), 101, 2</t>
        </is>
      </c>
    </row>
    <row r="212">
      <c r="A212" s="33" t="inlineStr">
        <is>
          <t xml:space="preserve">    )</t>
        </is>
      </c>
    </row>
    <row r="213">
      <c r="A213" s="33" t="inlineStr">
        <is>
          <t xml:space="preserve">    R("Corr_flag").value = out["corr_flag"]</t>
        </is>
      </c>
    </row>
    <row r="214">
      <c r="A214" s="33" t="inlineStr">
        <is>
          <t xml:space="preserve">    conv = out["convergence_note"]</t>
        </is>
      </c>
    </row>
    <row r="215">
      <c r="A215" s="33" t="inlineStr">
        <is>
          <t xml:space="preserve">    R("Out_conv_halfwidth").value = round(conv["p80_ci95_half_width"], 2)</t>
        </is>
      </c>
    </row>
    <row r="216">
      <c r="A216" s="33" t="inlineStr">
        <is>
          <t xml:space="preserve">    R("Out_conv_pct").value = round(conv["p80_ci95_half_width_pct"], 4)</t>
        </is>
      </c>
    </row>
    <row r="217">
      <c r="A217" s="33" t="inlineStr">
        <is>
          <t xml:space="preserve">    if out["triple"]:</t>
        </is>
      </c>
    </row>
    <row r="218">
      <c r="A218" s="33" t="inlineStr">
        <is>
          <t xml:space="preserve">        modes = ("zero", "elicited", "one")</t>
        </is>
      </c>
    </row>
    <row r="219">
      <c r="A219" s="33" t="inlineStr">
        <is>
          <t xml:space="preserve">        triple_rows = [</t>
        </is>
      </c>
    </row>
    <row r="220">
      <c r="A220" s="33" t="inlineStr">
        <is>
          <t xml:space="preserve">            [out["triple"]["elicited"][i][0]] + [out["triple"][m][i][1] for m in modes]</t>
        </is>
      </c>
    </row>
    <row r="221">
      <c r="A221" s="33" t="inlineStr">
        <is>
          <t xml:space="preserve">            for i in range(len(out["triple"]["elicited"]))</t>
        </is>
      </c>
    </row>
    <row r="222">
      <c r="A222" s="33" t="inlineStr">
        <is>
          <t xml:space="preserve">        ]</t>
        </is>
      </c>
    </row>
    <row r="223">
      <c r="A223" s="33" t="inlineStr">
        <is>
          <t xml:space="preserve">        R("Out_triple").value = _pad(triple_rows, 19, 4)</t>
        </is>
      </c>
    </row>
    <row r="224">
      <c r="A224" s="33" t="n"/>
    </row>
    <row r="225">
      <c r="A225" s="33" t="n"/>
    </row>
    <row r="226">
      <c r="A226" s="33" t="inlineStr">
        <is>
          <t>@script</t>
        </is>
      </c>
    </row>
    <row r="227">
      <c r="A227" s="33" t="inlineStr">
        <is>
          <t>def run_simulation(book: xw.Book):  # pragma: no cover - exercised in Excel (6b load test)</t>
        </is>
      </c>
    </row>
    <row r="228">
      <c r="A228" s="33" t="inlineStr">
        <is>
          <t xml:space="preserve">    """BUTTON: run the cost-QRA at the interactive iteration count (Settings B1 /</t>
        </is>
      </c>
    </row>
    <row r="229">
      <c r="A229" s="33" t="inlineStr">
        <is>
          <t xml:space="preserve">    Set_iterations, default 25k) and write the P-curve/S-curve/convergence back."""</t>
        </is>
      </c>
    </row>
    <row r="230">
      <c r="A230" s="33" t="inlineStr">
        <is>
          <t xml:space="preserve">    _run_and_write(book, "Set_iterations", 25_000)</t>
        </is>
      </c>
    </row>
    <row r="231">
      <c r="A231" s="33" t="n"/>
    </row>
    <row r="232">
      <c r="A232" s="33" t="n"/>
    </row>
    <row r="233">
      <c r="A233" s="33" t="inlineStr">
        <is>
          <t>@script</t>
        </is>
      </c>
    </row>
    <row r="234">
      <c r="A234" s="33" t="inlineStr">
        <is>
          <t>def run_simulation_100k(book: xw.Book):  # pragma: no cover - exercised in Excel</t>
        </is>
      </c>
    </row>
    <row r="235">
      <c r="A235" s="33" t="inlineStr">
        <is>
          <t xml:space="preserve">    """BUTTON: run the cost-QRA at the on-demand 100k count (Settings B5 /</t>
        </is>
      </c>
    </row>
    <row r="236">
      <c r="A236" s="33" t="inlineStr">
        <is>
          <t xml:space="preserve">    Set_iterations_max, default 100k) - the high-resolution run for the deliverable.</t>
        </is>
      </c>
    </row>
    <row r="237">
      <c r="A237" s="33" t="inlineStr">
        <is>
          <t xml:space="preserve">    Same write-back as run_simulation; only the iteration count differs."""</t>
        </is>
      </c>
    </row>
    <row r="238">
      <c r="A238" s="33" t="inlineStr">
        <is>
          <t xml:space="preserve">    _run_and_write(book, "Set_iterations_max", 100_000)</t>
        </is>
      </c>
    </row>
    <row r="239">
      <c r="A239" s="33" t="n"/>
    </row>
    <row r="240">
      <c r="A240" s="33" t="n"/>
    </row>
    <row r="241">
      <c r="A241" s="33" t="inlineStr">
        <is>
          <t>@script</t>
        </is>
      </c>
    </row>
    <row r="242">
      <c r="A242" s="33" t="inlineStr">
        <is>
          <t>def validate_contract(book: xw.Book):  # pragma: no cover - exercised in Excel</t>
        </is>
      </c>
    </row>
    <row r="243">
      <c r="A243" s="33" t="inlineStr">
        <is>
          <t xml:space="preserve">    """REG03 S2 rider (1): a contract self-check for a scaffold-once handover.</t>
        </is>
      </c>
    </row>
    <row r="244">
      <c r="A244" s="33" t="n"/>
    </row>
    <row r="245">
      <c r="A245" s="33" t="inlineStr">
        <is>
          <t xml:space="preserve">    After a user hand-edits the scaffolded register, this verifies the</t>
        </is>
      </c>
    </row>
    <row r="246">
      <c r="A246" s="33" t="inlineStr">
        <is>
          <t xml:space="preserve">    Grid_*/Set_*/Out_* named ranges are all present, Set_ContractVersion matches,</t>
        </is>
      </c>
    </row>
    <row r="247">
      <c r="A247" s="33" t="inlineStr">
        <is>
          <t xml:space="preserve">    and Grid_Methodology carries its 13 CG + 3 mode rows - writing PASS/FAIL + a</t>
        </is>
      </c>
    </row>
    <row r="248">
      <c r="A248" s="33" t="inlineStr">
        <is>
          <t xml:space="preserve">    human-readable message to the Out_validation range. A thin I/O wrapper over the</t>
        </is>
      </c>
    </row>
    <row r="249">
      <c r="A249" s="33" t="inlineStr">
        <is>
          <t xml:space="preserve">    headless ``check_contract`` (CI-covered); it reads via named ranges only, so it</t>
        </is>
      </c>
    </row>
    <row r="250">
      <c r="A250" s="33" t="inlineStr">
        <is>
          <t xml:space="preserve">    obeys the Lite forbidden-API list documented in this module's header."""</t>
        </is>
      </c>
    </row>
    <row r="251">
      <c r="A251" s="33" t="inlineStr">
        <is>
          <t xml:space="preserve">    grids = read_grids_xlwings(book)</t>
        </is>
      </c>
    </row>
    <row r="252">
      <c r="A252" s="33" t="inlineStr">
        <is>
          <t xml:space="preserve">    try:</t>
        </is>
      </c>
    </row>
    <row r="253">
      <c r="A253" s="33" t="inlineStr">
        <is>
          <t xml:space="preserve">        present = [nm.name for nm in book.names]</t>
        </is>
      </c>
    </row>
    <row r="254">
      <c r="A254" s="33" t="inlineStr">
        <is>
          <t xml:space="preserve">    except Exception:</t>
        </is>
      </c>
    </row>
    <row r="255">
      <c r="A255" s="33" t="inlineStr">
        <is>
          <t xml:space="preserve">        present = []</t>
        </is>
      </c>
    </row>
    <row r="256">
      <c r="A256" s="33" t="n"/>
    </row>
    <row r="257">
      <c r="A257" s="33" t="inlineStr">
        <is>
          <t xml:space="preserve">    def _named(nm, default=None):</t>
        </is>
      </c>
    </row>
    <row r="258">
      <c r="A258" s="33" t="inlineStr">
        <is>
          <t xml:space="preserve">        try:</t>
        </is>
      </c>
    </row>
    <row r="259">
      <c r="A259" s="33" t="inlineStr">
        <is>
          <t xml:space="preserve">            return book.names[nm].refers_to_range.value</t>
        </is>
      </c>
    </row>
    <row r="260">
      <c r="A260" s="33" t="inlineStr">
        <is>
          <t xml:space="preserve">        except Exception:</t>
        </is>
      </c>
    </row>
    <row r="261">
      <c r="A261" s="33" t="inlineStr">
        <is>
          <t xml:space="preserve">            return default</t>
        </is>
      </c>
    </row>
    <row r="262">
      <c r="A262" s="33" t="n"/>
    </row>
    <row r="263">
      <c r="A263" s="33" t="inlineStr">
        <is>
          <t xml:space="preserve">    ok, message = check_contract(present, grids["methodology"],</t>
        </is>
      </c>
    </row>
    <row r="264">
      <c r="A264" s="33" t="inlineStr">
        <is>
          <t xml:space="preserve">                                 _named("Set_ContractVersion"))</t>
        </is>
      </c>
    </row>
    <row r="265">
      <c r="A265" s="33" t="inlineStr">
        <is>
          <t xml:space="preserve">    book.names["Out_validation"].refers_to_range.value = [</t>
        </is>
      </c>
    </row>
    <row r="266">
      <c r="A266" s="33" t="inlineStr">
        <is>
          <t xml:space="preserve">        ["PASS" if ok else "FAIL"], [message]]</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6.xml><?xml version="1.0" encoding="utf-8"?>
<worksheet xmlns="http://schemas.openxmlformats.org/spreadsheetml/2006/main">
  <sheetPr>
    <tabColor rgb="00548235"/>
    <outlinePr summaryBelow="1" summaryRight="1"/>
    <pageSetUpPr/>
  </sheetPr>
  <dimension ref="A1:A398"/>
  <sheetViews>
    <sheetView showGridLines="0" workbookViewId="0">
      <pane ySplit="1" topLeftCell="A2" activePane="bottomLeft" state="frozen"/>
      <selection pane="bottomLeft" activeCell="A1" sqref="A1"/>
    </sheetView>
  </sheetViews>
  <sheetFormatPr baseColWidth="8" defaultRowHeight="15"/>
  <cols>
    <col width="111.4285714285714" customWidth="1" min="1" max="1"/>
  </cols>
  <sheetData>
    <row r="1">
      <c r="A1" s="77" t="inlineStr">
        <is>
          <t>Handoff Prompt - read this tab, then execute it</t>
        </is>
      </c>
    </row>
    <row r="2">
      <c r="A2" s="78" t="inlineStr"/>
    </row>
    <row r="3">
      <c r="A3" s="78" t="inlineStr">
        <is>
          <t>THE PROMPT (paste this into Claude Code, nothing else)</t>
        </is>
      </c>
    </row>
    <row r="4">
      <c r="A4" s="78" t="inlineStr"/>
    </row>
    <row r="5">
      <c r="A5" s="78" t="inlineStr">
        <is>
          <t xml:space="preserve">    Read the "Handoff Prompt" tab of dist/wind_register.xlsx with openpyxl and execute it.</t>
        </is>
      </c>
    </row>
    <row r="6">
      <c r="A6" s="78" t="inlineStr"/>
    </row>
    <row r="7">
      <c r="A7" s="78" t="inlineStr">
        <is>
          <t>Everything below is the brief. It is also valid markdown - if you prefer a repo file,</t>
        </is>
      </c>
    </row>
    <row r="8">
      <c r="A8" s="78" t="inlineStr">
        <is>
          <t>save this column as docs/POLISH_HANDOFF.md and the prompt becomes:</t>
        </is>
      </c>
    </row>
    <row r="9">
      <c r="A9" s="78" t="inlineStr">
        <is>
          <t xml:space="preserve">    Read docs/POLISH_HANDOFF.md and execute it.</t>
        </is>
      </c>
    </row>
    <row r="10">
      <c r="A10" s="78" t="inlineStr"/>
    </row>
    <row r="11">
      <c r="A11" s="78" t="inlineStr">
        <is>
          <t>===============================================================================================</t>
        </is>
      </c>
    </row>
    <row r="12">
      <c r="A12" s="79" t="inlineStr">
        <is>
          <t># CONTEXT</t>
        </is>
      </c>
    </row>
    <row r="13">
      <c r="A13" s="78" t="inlineStr">
        <is>
          <t>===============================================================================================</t>
        </is>
      </c>
    </row>
    <row r="14">
      <c r="A14" s="78" t="inlineStr"/>
    </row>
    <row r="15">
      <c r="A15" s="78" t="inlineStr">
        <is>
          <t>This workbook is a cost-QRA register generated by this repo. Its structure and model logic are</t>
        </is>
      </c>
    </row>
    <row r="16">
      <c r="A16" s="78" t="inlineStr">
        <is>
          <t>yours. Its CHARTS and FORMATTING were designed by hand in Excel and must be turned into a</t>
        </is>
      </c>
    </row>
    <row r="17">
      <c r="A17" s="78" t="inlineStr">
        <is>
          <t>reproducible build step, so they survive the next regeneration.</t>
        </is>
      </c>
    </row>
    <row r="18">
      <c r="A18" s="78" t="inlineStr"/>
    </row>
    <row r="19">
      <c r="A19" s="78" t="inlineStr">
        <is>
          <t>Four tabs carry the handoff:</t>
        </is>
      </c>
    </row>
    <row r="20">
      <c r="A20" s="78" t="inlineStr"/>
    </row>
    <row r="21">
      <c r="A21" s="78" t="inlineStr">
        <is>
          <t xml:space="preserve">  Build Log           50 numbered steps: what was changed, where, and WHY. The audit trail.</t>
        </is>
      </c>
    </row>
    <row r="22">
      <c r="A22" s="78" t="inlineStr">
        <is>
          <t xml:space="preserve">  Reference (polish)  the source of three files, as text, in column A.</t>
        </is>
      </c>
    </row>
    <row r="23">
      <c r="A23" s="78" t="inlineStr">
        <is>
          <t xml:space="preserve">  Polish Inbox        append-only queue of future amendments (status = pending).</t>
        </is>
      </c>
    </row>
    <row r="24">
      <c r="A24" s="78" t="inlineStr">
        <is>
          <t xml:space="preserve">  Handoff Prompt      this tab.</t>
        </is>
      </c>
    </row>
    <row r="25">
      <c r="A25" s="78" t="inlineStr"/>
    </row>
    <row r="26">
      <c r="A26" s="78" t="inlineStr">
        <is>
          <t>Do NOT reverse-engineer the formatting by inspecting cells. The spec is authoritative and</t>
        </is>
      </c>
    </row>
    <row r="27">
      <c r="A27" s="78" t="inlineStr">
        <is>
          <t>records reasoning that cell inspection cannot recover.</t>
        </is>
      </c>
    </row>
    <row r="28">
      <c r="A28" s="78" t="inlineStr"/>
    </row>
    <row r="29">
      <c r="A29" s="78" t="inlineStr">
        <is>
          <t>===============================================================================================</t>
        </is>
      </c>
    </row>
    <row r="30">
      <c r="A30" s="79" t="inlineStr">
        <is>
          <t># STEP 0 - EXTRACT THE SOURCE</t>
        </is>
      </c>
    </row>
    <row r="31">
      <c r="A31" s="78" t="inlineStr">
        <is>
          <t>===============================================================================================</t>
        </is>
      </c>
    </row>
    <row r="32">
      <c r="A32" s="78" t="inlineStr"/>
    </row>
    <row r="33">
      <c r="A33" s="78" t="inlineStr">
        <is>
          <t>Create tools/extract_polish_source.py and run it. It splits the Reference (polish) column</t>
        </is>
      </c>
    </row>
    <row r="34">
      <c r="A34" s="78" t="inlineStr">
        <is>
          <t>into files on the FILE banner rows.</t>
        </is>
      </c>
    </row>
    <row r="35">
      <c r="A35" s="78" t="inlineStr"/>
    </row>
    <row r="36">
      <c r="A36" s="78" t="inlineStr">
        <is>
          <t>```python</t>
        </is>
      </c>
    </row>
    <row r="37">
      <c r="A37" s="78" t="inlineStr">
        <is>
          <t>"""Extract the polish-layer source embedded in the register workbook."""</t>
        </is>
      </c>
    </row>
    <row r="38">
      <c r="A38" s="78" t="inlineStr">
        <is>
          <t>from openpyxl import load_workbook</t>
        </is>
      </c>
    </row>
    <row r="39">
      <c r="A39" s="78" t="inlineStr">
        <is>
          <t>from pathlib import Path</t>
        </is>
      </c>
    </row>
    <row r="40">
      <c r="A40" s="78" t="inlineStr">
        <is>
          <t>import sys</t>
        </is>
      </c>
    </row>
    <row r="41">
      <c r="A41" s="78" t="inlineStr"/>
    </row>
    <row r="42">
      <c r="A42" s="78" t="inlineStr">
        <is>
          <t>SHEET = "Reference (polish)"</t>
        </is>
      </c>
    </row>
    <row r="43">
      <c r="A43" s="78" t="inlineStr">
        <is>
          <t>TARGETS = [</t>
        </is>
      </c>
    </row>
    <row r="44">
      <c r="A44" s="78" t="inlineStr">
        <is>
          <t xml:space="preserve">    ("FILE 1 of 3",     "config/polish_spec.yaml"),</t>
        </is>
      </c>
    </row>
    <row r="45">
      <c r="A45" s="78" t="inlineStr">
        <is>
          <t xml:space="preserve">    ("FILE 2 of 3",     "tools/register_polish.py"),</t>
        </is>
      </c>
    </row>
    <row r="46">
      <c r="A46" s="78" t="inlineStr">
        <is>
          <t xml:space="preserve">    ("FILE 3 of 3",     "tools/polish_charts.py"),</t>
        </is>
      </c>
    </row>
    <row r="47">
      <c r="A47" s="78" t="inlineStr">
        <is>
          <t xml:space="preserve">    ("FILE 2 ADDENDUM", "tools/_polish_inbox_addendum.py"),</t>
        </is>
      </c>
    </row>
    <row r="48">
      <c r="A48" s="78" t="inlineStr">
        <is>
          <t>]</t>
        </is>
      </c>
    </row>
    <row r="49">
      <c r="A49" s="78" t="inlineStr"/>
    </row>
    <row r="50">
      <c r="A50" s="78" t="inlineStr"/>
    </row>
    <row r="51">
      <c r="A51" s="78" t="inlineStr">
        <is>
          <t>def extract(xlsx):</t>
        </is>
      </c>
    </row>
    <row r="52">
      <c r="A52" s="78" t="inlineStr">
        <is>
          <t xml:space="preserve">    ws = load_workbook(xlsx).get_sheet_by_name(SHEET)</t>
        </is>
      </c>
    </row>
    <row r="53">
      <c r="A53" s="78" t="inlineStr">
        <is>
          <t xml:space="preserve">    lines = [(c.row, str(c.value) if c.value is not None else "")</t>
        </is>
      </c>
    </row>
    <row r="54">
      <c r="A54" s="78" t="inlineStr">
        <is>
          <t xml:space="preserve">             for c in ws["A"]]</t>
        </is>
      </c>
    </row>
    <row r="55">
      <c r="A55" s="78" t="inlineStr">
        <is>
          <t xml:space="preserve">    starts = {}</t>
        </is>
      </c>
    </row>
    <row r="56">
      <c r="A56" s="78" t="inlineStr">
        <is>
          <t xml:space="preserve">    for row, text in lines:</t>
        </is>
      </c>
    </row>
    <row r="57">
      <c r="A57" s="78" t="inlineStr">
        <is>
          <t xml:space="preserve">        for marker, path in TARGETS:</t>
        </is>
      </c>
    </row>
    <row r="58">
      <c r="A58" s="78" t="inlineStr">
        <is>
          <t xml:space="preserve">            if text.startswith(marker):</t>
        </is>
      </c>
    </row>
    <row r="59">
      <c r="A59" s="78" t="inlineStr">
        <is>
          <t xml:space="preserve">                starts[row] = path</t>
        </is>
      </c>
    </row>
    <row r="60">
      <c r="A60" s="78" t="inlineStr">
        <is>
          <t xml:space="preserve">    bounds = sorted(starts)</t>
        </is>
      </c>
    </row>
    <row r="61">
      <c r="A61" s="78" t="inlineStr">
        <is>
          <t xml:space="preserve">    for i, start in enumerate(bounds):</t>
        </is>
      </c>
    </row>
    <row r="62">
      <c r="A62" s="78" t="inlineStr">
        <is>
          <t xml:space="preserve">        end = bounds[i + 1] - 2 if i + 1 &lt; len(bounds) else len(lines)</t>
        </is>
      </c>
    </row>
    <row r="63">
      <c r="A63" s="78" t="inlineStr">
        <is>
          <t xml:space="preserve">        body = [t for r, t in lines if start + 2 &lt;= r &lt; end]</t>
        </is>
      </c>
    </row>
    <row r="64">
      <c r="A64" s="78" t="inlineStr">
        <is>
          <t xml:space="preserve">        while body and not body[0].strip():</t>
        </is>
      </c>
    </row>
    <row r="65">
      <c r="A65" s="78" t="inlineStr">
        <is>
          <t xml:space="preserve">            body.pop(0)</t>
        </is>
      </c>
    </row>
    <row r="66">
      <c r="A66" s="78" t="inlineStr">
        <is>
          <t xml:space="preserve">        while body and not body[-1].strip():</t>
        </is>
      </c>
    </row>
    <row r="67">
      <c r="A67" s="78" t="inlineStr">
        <is>
          <t xml:space="preserve">            body.pop()</t>
        </is>
      </c>
    </row>
    <row r="68">
      <c r="A68" s="78" t="inlineStr">
        <is>
          <t xml:space="preserve">        out = Path(starts[start])</t>
        </is>
      </c>
    </row>
    <row r="69">
      <c r="A69" s="78" t="inlineStr">
        <is>
          <t xml:space="preserve">        out.parent.mkdir(parents=True, exist_ok=True)</t>
        </is>
      </c>
    </row>
    <row r="70">
      <c r="A70" s="78" t="inlineStr">
        <is>
          <t xml:space="preserve">        out.write_text("\n".join(body) + "\n")</t>
        </is>
      </c>
    </row>
    <row r="71">
      <c r="A71" s="78" t="inlineStr">
        <is>
          <t xml:space="preserve">        print(f"wrote {out}  ({len(body)} lines)")</t>
        </is>
      </c>
    </row>
    <row r="72">
      <c r="A72" s="78" t="inlineStr"/>
    </row>
    <row r="73">
      <c r="A73" s="78" t="inlineStr"/>
    </row>
    <row r="74">
      <c r="A74" s="78" t="inlineStr">
        <is>
          <t>if __name__ == "__main__":</t>
        </is>
      </c>
    </row>
    <row r="75">
      <c r="A75" s="78" t="inlineStr">
        <is>
          <t xml:space="preserve">    extract(sys.argv[1] if len(sys.argv) &gt; 1 else "dist/wind_register.xlsx")</t>
        </is>
      </c>
    </row>
    <row r="76">
      <c r="A76" s="78" t="inlineStr">
        <is>
          <t>```</t>
        </is>
      </c>
    </row>
    <row r="77">
      <c r="A77" s="78" t="inlineStr"/>
    </row>
    <row r="78">
      <c r="A78" s="78" t="inlineStr">
        <is>
          <t>Then fold BOTH addenda (tools/_polish_inbox_addendum.py) into tools/register_polish.py -</t>
        </is>
      </c>
    </row>
    <row r="79">
      <c r="A79" s="78" t="inlineStr">
        <is>
          <t>they are continuations: merge_inbox() + revised polish(), then the meta-tab renderers.</t>
        </is>
      </c>
    </row>
    <row r="80">
      <c r="A80" s="78" t="inlineStr"/>
    </row>
    <row r="81">
      <c r="A81" s="78" t="inlineStr">
        <is>
          <t>The extractor is line-based and has not been run. Sanity-check each output file parses</t>
        </is>
      </c>
    </row>
    <row r="82">
      <c r="A82" s="78" t="inlineStr">
        <is>
          <t>(python -m py_compile, yaml.safe_load) before going further.</t>
        </is>
      </c>
    </row>
    <row r="83">
      <c r="A83" s="78" t="inlineStr"/>
    </row>
    <row r="84">
      <c r="A84" s="78" t="inlineStr">
        <is>
          <t>===============================================================================================</t>
        </is>
      </c>
    </row>
    <row r="85">
      <c r="A85" s="79" t="inlineStr">
        <is>
          <t># STEP 1 - COMPLETE THE SPEC</t>
        </is>
      </c>
    </row>
    <row r="86">
      <c r="A86" s="78" t="inlineStr">
        <is>
          <t>===============================================================================================</t>
        </is>
      </c>
    </row>
    <row r="87">
      <c r="A87" s="78" t="inlineStr"/>
    </row>
    <row r="88">
      <c r="A88" s="78" t="inlineStr">
        <is>
          <t>config/polish_spec.yaml carries every distinct op: kind with real values, but a handful of</t>
        </is>
      </c>
    </row>
    <row r="89">
      <c r="A89" s="78" t="inlineStr">
        <is>
          <t>repetitive "... format" sub-steps were omitted for space. The Build Log tab has all 50.</t>
        </is>
      </c>
    </row>
    <row r="90">
      <c r="A90" s="78" t="inlineStr"/>
    </row>
    <row r="91">
      <c r="A91" s="78" t="inlineStr">
        <is>
          <t>Read the Build Log tab and add any step that is missing from the YAML. Each record needs the</t>
        </is>
      </c>
    </row>
    <row r="92">
      <c r="A92" s="78" t="inlineStr">
        <is>
          <t>seven human columns (id, step, sheet, target, action, detail, why) plus an op: payload, or</t>
        </is>
      </c>
    </row>
    <row r="93">
      <c r="A93" s="78" t="inlineStr">
        <is>
          <t>op: null if it is documentation-only.</t>
        </is>
      </c>
    </row>
    <row r="94">
      <c r="A94" s="78" t="inlineStr"/>
    </row>
    <row r="95">
      <c r="A95" s="78" t="inlineStr">
        <is>
          <t>Acceptance: every Build Log row id appears exactly once in polish_spec.yaml steps.</t>
        </is>
      </c>
    </row>
    <row r="96">
      <c r="A96" s="78" t="inlineStr"/>
    </row>
    <row r="97">
      <c r="A97" s="78" t="inlineStr">
        <is>
          <t>===============================================================================================</t>
        </is>
      </c>
    </row>
    <row r="98">
      <c r="A98" s="79" t="inlineStr">
        <is>
          <t># STEP 2 - WIRE IT INTO THE BUILD</t>
        </is>
      </c>
    </row>
    <row r="99">
      <c r="A99" s="78" t="inlineStr">
        <is>
          <t>===============================================================================================</t>
        </is>
      </c>
    </row>
    <row r="100">
      <c r="A100" s="78" t="inlineStr"/>
    </row>
    <row r="101">
      <c r="A101" s="78" t="inlineStr">
        <is>
          <t xml:space="preserve">    python tools/register_scaffold.py            -&gt;  dist/wind_register.xlsx</t>
        </is>
      </c>
    </row>
    <row r="102">
      <c r="A102" s="78" t="inlineStr">
        <is>
          <t xml:space="preserve">    &lt;model / simulation populates the Simulation tab&gt;</t>
        </is>
      </c>
    </row>
    <row r="103">
      <c r="A103" s="78" t="inlineStr">
        <is>
          <t xml:space="preserve">    python tools/register_polish.py dist/wind_register.xlsx      # LAST</t>
        </is>
      </c>
    </row>
    <row r="104">
      <c r="A104" s="78" t="inlineStr"/>
    </row>
    <row r="105">
      <c r="A105" s="78" t="inlineStr">
        <is>
          <t>polish() MUST run after the Simulation tab is populated - the charts read those ranges.</t>
        </is>
      </c>
    </row>
    <row r="106">
      <c r="A106" s="78" t="inlineStr"/>
    </row>
    <row r="107">
      <c r="A107" s="78" t="inlineStr">
        <is>
          <t>===============================================================================================</t>
        </is>
      </c>
    </row>
    <row r="108">
      <c r="A108" s="79" t="inlineStr">
        <is>
          <t># STEP 3 - TEST</t>
        </is>
      </c>
    </row>
    <row r="109">
      <c r="A109" s="78" t="inlineStr">
        <is>
          <t>===============================================================================================</t>
        </is>
      </c>
    </row>
    <row r="110">
      <c r="A110" s="78" t="inlineStr"/>
    </row>
    <row r="111">
      <c r="A111" s="78" t="inlineStr">
        <is>
          <t>BEFORE ANY REGENERATION, save the current workbook as:</t>
        </is>
      </c>
    </row>
    <row r="112">
      <c r="A112" s="78" t="inlineStr">
        <is>
          <t xml:space="preserve">    tests/golden/wind_register_polished.xlsx</t>
        </is>
      </c>
    </row>
    <row r="113">
      <c r="A113" s="78" t="inlineStr">
        <is>
          <t>It is the only artefact that captures what "correct" looks like. Once the register is</t>
        </is>
      </c>
    </row>
    <row r="114">
      <c r="A114" s="78" t="inlineStr">
        <is>
          <t>regenerated it cannot be recovered.</t>
        </is>
      </c>
    </row>
    <row r="115">
      <c r="A115" s="78" t="inlineStr"/>
    </row>
    <row r="116">
      <c r="A116" s="78" t="inlineStr">
        <is>
          <t>Four stages, cheapest first.</t>
        </is>
      </c>
    </row>
    <row r="117">
      <c r="A117" s="78" t="inlineStr"/>
    </row>
    <row r="118">
      <c r="A118" s="78" t="inlineStr">
        <is>
          <t>## Stage 1 - smoke</t>
        </is>
      </c>
    </row>
    <row r="119">
      <c r="A119" s="78" t="inlineStr">
        <is>
          <t>Run polish() on a freshly scaffolded register. Does it complete without raising? This catches</t>
        </is>
      </c>
    </row>
    <row r="120">
      <c r="A120" s="78" t="inlineStr">
        <is>
          <t>the build_chart() signature, _ref() sheet-name quoting, and bad range strings. Expect two or</t>
        </is>
      </c>
    </row>
    <row r="121">
      <c r="A121" s="78" t="inlineStr">
        <is>
          <t>three iterations. None of the shipped code has ever been executed.</t>
        </is>
      </c>
    </row>
    <row r="122">
      <c r="A122" s="78" t="inlineStr"/>
    </row>
    <row r="123">
      <c r="A123" s="78" t="inlineStr">
        <is>
          <t>## Stage 2 - idempotency</t>
        </is>
      </c>
    </row>
    <row r="124">
      <c r="A124" s="78" t="inlineStr">
        <is>
          <t>Run twice on the same file; the second run must change nothing. Do NOT hash the .xlsx - zip</t>
        </is>
      </c>
    </row>
    <row r="125">
      <c r="A125" s="78" t="inlineStr">
        <is>
          <t>timestamps differ on every write. Compare a normalised dump.</t>
        </is>
      </c>
    </row>
    <row r="126">
      <c r="A126" s="78" t="inlineStr"/>
    </row>
    <row r="127">
      <c r="A127" s="78" t="inlineStr">
        <is>
          <t>## Stage 3 - fidelity  (the one that matters)</t>
        </is>
      </c>
    </row>
    <row r="128">
      <c r="A128" s="78" t="inlineStr">
        <is>
          <t>Same dump, module output vs tests/golden/. Stages 1-2 prove the code runs; only Stage 3 proves</t>
        </is>
      </c>
    </row>
    <row r="129">
      <c r="A129" s="78" t="inlineStr">
        <is>
          <t>it reproduces the workbook that was actually approved.</t>
        </is>
      </c>
    </row>
    <row r="130">
      <c r="A130" s="78" t="inlineStr">
        <is>
          <t>Expect genuine diffs on column widths: autofit() approximates from character count and will not</t>
        </is>
      </c>
    </row>
    <row r="131">
      <c r="A131" s="78" t="inlineStr">
        <is>
          <t>match Excel's renderer. Either allow a tolerance on width, or freeze the offenders in widths:.</t>
        </is>
      </c>
    </row>
    <row r="132">
      <c r="A132" s="78" t="inlineStr"/>
    </row>
    <row r="133">
      <c r="A133" s="78" t="inlineStr">
        <is>
          <t>## Stage 4 - invariants</t>
        </is>
      </c>
    </row>
    <row r="134">
      <c r="A134" s="78" t="inlineStr">
        <is>
          <t>The eight non-negotiables listed at the top of Reference (polish), as assertions. These are the</t>
        </is>
      </c>
    </row>
    <row r="135">
      <c r="A135" s="78" t="inlineStr">
        <is>
          <t>things that actually broke during the manual pass, so they are the things most likely to break</t>
        </is>
      </c>
    </row>
    <row r="136">
      <c r="A136" s="78" t="inlineStr">
        <is>
          <t>again.</t>
        </is>
      </c>
    </row>
    <row r="137">
      <c r="A137" s="78" t="inlineStr"/>
    </row>
    <row r="138">
      <c r="A138" s="78" t="inlineStr">
        <is>
          <t>```python</t>
        </is>
      </c>
    </row>
    <row r="139">
      <c r="A139" s="78" t="inlineStr">
        <is>
          <t>"""tests/test_polish.py"""</t>
        </is>
      </c>
    </row>
    <row r="140">
      <c r="A140" s="78" t="inlineStr">
        <is>
          <t>import pytest</t>
        </is>
      </c>
    </row>
    <row r="141">
      <c r="A141" s="78" t="inlineStr">
        <is>
          <t>from openpyxl import load_workbook</t>
        </is>
      </c>
    </row>
    <row r="142">
      <c r="A142" s="78" t="inlineStr">
        <is>
          <t>from tools.register_polish import polish</t>
        </is>
      </c>
    </row>
    <row r="143">
      <c r="A143" s="78" t="inlineStr"/>
    </row>
    <row r="144">
      <c r="A144" s="78" t="inlineStr">
        <is>
          <t>GOLDEN = "tests/golden/wind_register_polished.xlsx"</t>
        </is>
      </c>
    </row>
    <row r="145">
      <c r="A145" s="78" t="inlineStr"/>
    </row>
    <row r="146">
      <c r="A146" s="78" t="inlineStr"/>
    </row>
    <row r="147">
      <c r="A147" s="78" t="inlineStr">
        <is>
          <t>def dump(path):</t>
        </is>
      </c>
    </row>
    <row r="148">
      <c r="A148" s="78" t="inlineStr">
        <is>
          <t xml:space="preserve">    """Normalised comparable view - values, formats, fills, charts, widths."""</t>
        </is>
      </c>
    </row>
    <row r="149">
      <c r="A149" s="78" t="inlineStr">
        <is>
          <t xml:space="preserve">    wb = load_workbook(path)</t>
        </is>
      </c>
    </row>
    <row r="150">
      <c r="A150" s="78" t="inlineStr">
        <is>
          <t xml:space="preserve">    out = []</t>
        </is>
      </c>
    </row>
    <row r="151">
      <c r="A151" s="78" t="inlineStr">
        <is>
          <t xml:space="preserve">    for ws in wb.worksheets:</t>
        </is>
      </c>
    </row>
    <row r="152">
      <c r="A152" s="78" t="inlineStr">
        <is>
          <t xml:space="preserve">        for row in ws.iter_rows():</t>
        </is>
      </c>
    </row>
    <row r="153">
      <c r="A153" s="78" t="inlineStr">
        <is>
          <t xml:space="preserve">            for c in row:</t>
        </is>
      </c>
    </row>
    <row r="154">
      <c r="A154" s="78" t="inlineStr">
        <is>
          <t xml:space="preserve">                if c.value is not None or c.number_format != "General":</t>
        </is>
      </c>
    </row>
    <row r="155">
      <c r="A155" s="78" t="inlineStr">
        <is>
          <t xml:space="preserve">                    out.append((ws.title, c.coordinate, str(c.value),</t>
        </is>
      </c>
    </row>
    <row r="156">
      <c r="A156" s="78" t="inlineStr">
        <is>
          <t xml:space="preserve">                                c.number_format,</t>
        </is>
      </c>
    </row>
    <row r="157">
      <c r="A157" s="78" t="inlineStr">
        <is>
          <t xml:space="preserve">                                getattr(c.fill.fgColor, "rgb", None),</t>
        </is>
      </c>
    </row>
    <row r="158">
      <c r="A158" s="78" t="inlineStr">
        <is>
          <t xml:space="preserve">                                c.font.b))</t>
        </is>
      </c>
    </row>
    <row r="159">
      <c r="A159" s="78" t="inlineStr">
        <is>
          <t xml:space="preserve">        out.append((ws.title, "_charts", sorted(str(ch.title) for ch in ws._charts)))</t>
        </is>
      </c>
    </row>
    <row r="160">
      <c r="A160" s="78" t="inlineStr">
        <is>
          <t xml:space="preserve">    return out</t>
        </is>
      </c>
    </row>
    <row r="161">
      <c r="A161" s="78" t="inlineStr"/>
    </row>
    <row r="162">
      <c r="A162" s="78" t="inlineStr"/>
    </row>
    <row r="163">
      <c r="A163" s="78" t="inlineStr">
        <is>
          <t>def widths(path):</t>
        </is>
      </c>
    </row>
    <row r="164">
      <c r="A164" s="78" t="inlineStr">
        <is>
          <t xml:space="preserve">    wb = load_workbook(path)</t>
        </is>
      </c>
    </row>
    <row r="165">
      <c r="A165" s="78" t="inlineStr">
        <is>
          <t xml:space="preserve">    return {(ws.title, k): round(v.width or 0)</t>
        </is>
      </c>
    </row>
    <row r="166">
      <c r="A166" s="78" t="inlineStr">
        <is>
          <t xml:space="preserve">            for ws in wb.worksheets for k, v in ws.column_dimensions.items()}</t>
        </is>
      </c>
    </row>
    <row r="167">
      <c r="A167" s="78" t="inlineStr"/>
    </row>
    <row r="168">
      <c r="A168" s="78" t="inlineStr"/>
    </row>
    <row r="169">
      <c r="A169" s="78" t="inlineStr">
        <is>
          <t>@pytest.fixture</t>
        </is>
      </c>
    </row>
    <row r="170">
      <c r="A170" s="78" t="inlineStr">
        <is>
          <t>def polished(tmp_path, scaffolded):        # scaffolded = your existing build fixture</t>
        </is>
      </c>
    </row>
    <row r="171">
      <c r="A171" s="78" t="inlineStr">
        <is>
          <t xml:space="preserve">    target = tmp_path / "reg.xlsx"</t>
        </is>
      </c>
    </row>
    <row r="172">
      <c r="A172" s="78" t="inlineStr">
        <is>
          <t xml:space="preserve">    target.write_bytes(scaffolded.read_bytes())</t>
        </is>
      </c>
    </row>
    <row r="173">
      <c r="A173" s="78" t="inlineStr">
        <is>
          <t xml:space="preserve">    polish(str(target))</t>
        </is>
      </c>
    </row>
    <row r="174">
      <c r="A174" s="78" t="inlineStr">
        <is>
          <t xml:space="preserve">    return str(target)</t>
        </is>
      </c>
    </row>
    <row r="175">
      <c r="A175" s="78" t="inlineStr"/>
    </row>
    <row r="176">
      <c r="A176" s="78" t="inlineStr"/>
    </row>
    <row r="177">
      <c r="A177" s="78" t="inlineStr">
        <is>
          <t>def test_smoke(polished):</t>
        </is>
      </c>
    </row>
    <row r="178">
      <c r="A178" s="78" t="inlineStr">
        <is>
          <t xml:space="preserve">    assert load_workbook(polished)["Charts"]._charts</t>
        </is>
      </c>
    </row>
    <row r="179">
      <c r="A179" s="78" t="inlineStr"/>
    </row>
    <row r="180">
      <c r="A180" s="78" t="inlineStr"/>
    </row>
    <row r="181">
      <c r="A181" s="78" t="inlineStr">
        <is>
          <t>def test_idempotent(polished):</t>
        </is>
      </c>
    </row>
    <row r="182">
      <c r="A182" s="78" t="inlineStr">
        <is>
          <t xml:space="preserve">    before = dump(polished)</t>
        </is>
      </c>
    </row>
    <row r="183">
      <c r="A183" s="78" t="inlineStr">
        <is>
          <t xml:space="preserve">    polish(polished)</t>
        </is>
      </c>
    </row>
    <row r="184">
      <c r="A184" s="78" t="inlineStr">
        <is>
          <t xml:space="preserve">    assert dump(polished) == before</t>
        </is>
      </c>
    </row>
    <row r="185">
      <c r="A185" s="78" t="inlineStr"/>
    </row>
    <row r="186">
      <c r="A186" s="78" t="inlineStr"/>
    </row>
    <row r="187">
      <c r="A187" s="78" t="inlineStr">
        <is>
          <t>def test_fidelity(polished):</t>
        </is>
      </c>
    </row>
    <row r="188">
      <c r="A188" s="78" t="inlineStr">
        <is>
          <t xml:space="preserve">    assert dump(polished) == dump(GOLDEN)</t>
        </is>
      </c>
    </row>
    <row r="189">
      <c r="A189" s="78" t="inlineStr"/>
    </row>
    <row r="190">
      <c r="A190" s="78" t="inlineStr"/>
    </row>
    <row r="191">
      <c r="A191" s="78" t="inlineStr">
        <is>
          <t>@pytest.mark.xfail(reason="autofit is a character-count approximation, not Excel's renderer")</t>
        </is>
      </c>
    </row>
    <row r="192">
      <c r="A192" s="78" t="inlineStr">
        <is>
          <t>def test_widths_match_golden(polished):</t>
        </is>
      </c>
    </row>
    <row r="193">
      <c r="A193" s="78" t="inlineStr">
        <is>
          <t xml:space="preserve">    assert widths(polished) == widths(GOLDEN)</t>
        </is>
      </c>
    </row>
    <row r="194">
      <c r="A194" s="78" t="inlineStr"/>
    </row>
    <row r="195">
      <c r="A195" s="78" t="inlineStr"/>
    </row>
    <row r="196">
      <c r="A196" s="78" t="inlineStr">
        <is>
          <t>def test_invariants(polished):</t>
        </is>
      </c>
    </row>
    <row r="197">
      <c r="A197" s="78" t="inlineStr">
        <is>
          <t xml:space="preserve">    wb = load_workbook(polished)</t>
        </is>
      </c>
    </row>
    <row r="198">
      <c r="A198" s="78" t="inlineStr"/>
    </row>
    <row r="199">
      <c r="A199" s="78" t="inlineStr">
        <is>
          <t xml:space="preserve">    # 4 - P-level categories must be TEXT or they chart as a data series</t>
        </is>
      </c>
    </row>
    <row r="200">
      <c r="A200" s="78" t="inlineStr">
        <is>
          <t xml:space="preserve">    assert isinstance(wb["Charts"]["AA3"].value, str)</t>
        </is>
      </c>
    </row>
    <row r="201">
      <c r="A201" s="78" t="inlineStr">
        <is>
          <t xml:space="preserve">    assert isinstance(wb["Charts"]["AD3"].value, str)</t>
        </is>
      </c>
    </row>
    <row r="202">
      <c r="A202" s="78" t="inlineStr"/>
    </row>
    <row r="203">
      <c r="A203" s="78" t="inlineStr">
        <is>
          <t xml:space="preserve">    # 3 - Lists column headers are in ROW 2; row 1 is the cascade note</t>
        </is>
      </c>
    </row>
    <row r="204">
      <c r="A204" s="78" t="inlineStr">
        <is>
          <t xml:space="preserve">    assert (wb["Lists"]["A2"].fill.fgColor.rgb or "").endswith("1F4E79")</t>
        </is>
      </c>
    </row>
    <row r="205">
      <c r="A205" s="78" t="inlineStr">
        <is>
          <t xml:space="preserve">    assert not (wb["Lists"]["A1"].fill.fgColor.rgb or "").endswith("1F4E79")</t>
        </is>
      </c>
    </row>
    <row r="206">
      <c r="A206" s="78" t="inlineStr"/>
    </row>
    <row r="207">
      <c r="A207" s="78" t="inlineStr">
        <is>
          <t xml:space="preserve">    # 6 - tornado: largest risk at the TOP</t>
        </is>
      </c>
    </row>
    <row r="208">
      <c r="A208" s="78" t="inlineStr">
        <is>
          <t xml:space="preserve">    t = next(c for c in wb["Charts"]._charts if "tornado" in str(c.title).lower())</t>
        </is>
      </c>
    </row>
    <row r="209">
      <c r="A209" s="78" t="inlineStr">
        <is>
          <t xml:space="preserve">    assert t.y_axis.scaling.orientation == "maxMin"</t>
        </is>
      </c>
    </row>
    <row r="210">
      <c r="A210" s="78" t="inlineStr"/>
    </row>
    <row r="211">
      <c r="A211" s="78" t="inlineStr">
        <is>
          <t xml:space="preserve">    # 7 - Charts unprotected (protection kills the column-outline toggle)</t>
        </is>
      </c>
    </row>
    <row r="212">
      <c r="A212" s="78" t="inlineStr">
        <is>
          <t xml:space="preserve">    assert not wb["Charts"].protection.sheet</t>
        </is>
      </c>
    </row>
    <row r="213">
      <c r="A213" s="78" t="inlineStr">
        <is>
          <t xml:space="preserve">    assert wb["Build Log"].protection.sheet</t>
        </is>
      </c>
    </row>
    <row r="214">
      <c r="A214" s="78" t="inlineStr"/>
    </row>
    <row r="215">
      <c r="A215" s="78" t="inlineStr">
        <is>
          <t xml:space="preserve">    # 2 - no font colour written on data cells by the polish pass</t>
        </is>
      </c>
    </row>
    <row r="216">
      <c r="A216" s="78" t="inlineStr">
        <is>
          <t xml:space="preserve">    rgb = getattr(wb["Risk Register"]["P5"].font.color, "rgb", None)</t>
        </is>
      </c>
    </row>
    <row r="217">
      <c r="A217" s="78" t="inlineStr">
        <is>
          <t xml:space="preserve">    assert rgb in (None, "FF000000")</t>
        </is>
      </c>
    </row>
    <row r="218">
      <c r="A218" s="78" t="inlineStr"/>
    </row>
    <row r="219">
      <c r="A219" s="78" t="inlineStr">
        <is>
          <t xml:space="preserve">    # 5 charts present</t>
        </is>
      </c>
    </row>
    <row r="220">
      <c r="A220" s="78" t="inlineStr">
        <is>
          <t xml:space="preserve">    assert len(wb["Charts"]._charts) == 5</t>
        </is>
      </c>
    </row>
    <row r="221">
      <c r="A221" s="78" t="inlineStr"/>
    </row>
    <row r="222">
      <c r="A222" s="78" t="inlineStr"/>
    </row>
    <row r="223">
      <c r="A223" s="78" t="inlineStr">
        <is>
          <t>def test_inbox_merge(polished, tmp_path):</t>
        </is>
      </c>
    </row>
    <row r="224">
      <c r="A224" s="78" t="inlineStr">
        <is>
          <t xml:space="preserve">    """Flip the shipped example row to pending; it must merge exactly once."""</t>
        </is>
      </c>
    </row>
    <row r="225">
      <c r="A225" s="78" t="inlineStr">
        <is>
          <t xml:space="preserve">    wb = load_workbook(polished)</t>
        </is>
      </c>
    </row>
    <row r="226">
      <c r="A226" s="78" t="inlineStr">
        <is>
          <t xml:space="preserve">    wb["Polish Inbox"]["G12"] = "pending"</t>
        </is>
      </c>
    </row>
    <row r="227">
      <c r="A227" s="78" t="inlineStr">
        <is>
          <t xml:space="preserve">    wb.save(polished)</t>
        </is>
      </c>
    </row>
    <row r="228">
      <c r="A228" s="78" t="inlineStr"/>
    </row>
    <row r="229">
      <c r="A229" s="78" t="inlineStr">
        <is>
          <t xml:space="preserve">    polish(polished)</t>
        </is>
      </c>
    </row>
    <row r="230">
      <c r="A230" s="78" t="inlineStr">
        <is>
          <t xml:space="preserve">    wb = load_workbook(polished)</t>
        </is>
      </c>
    </row>
    <row r="231">
      <c r="A231" s="78" t="inlineStr">
        <is>
          <t xml:space="preserve">    assert wb["Polish Inbox"]["G12"].value == "merged"</t>
        </is>
      </c>
    </row>
    <row r="232">
      <c r="A232" s="78" t="inlineStr">
        <is>
          <t xml:space="preserve">    assert str(wb["Polish Inbox"]["H12"].value).startswith("polish-v")</t>
        </is>
      </c>
    </row>
    <row r="233">
      <c r="A233" s="78" t="inlineStr">
        <is>
          <t xml:space="preserve">    assert len(wb["Charts"]._charts) == 6</t>
        </is>
      </c>
    </row>
    <row r="234">
      <c r="A234" s="78" t="inlineStr"/>
    </row>
    <row r="235">
      <c r="A235" s="78" t="inlineStr">
        <is>
          <t xml:space="preserve">    polish(polished)                       # merge must not duplicate</t>
        </is>
      </c>
    </row>
    <row r="236">
      <c r="A236" s="78" t="inlineStr">
        <is>
          <t xml:space="preserve">    assert len(load_workbook(polished)["Charts"]._charts) == 6</t>
        </is>
      </c>
    </row>
    <row r="237">
      <c r="A237" s="78" t="inlineStr">
        <is>
          <t>```</t>
        </is>
      </c>
    </row>
    <row r="238">
      <c r="A238" s="78" t="inlineStr"/>
    </row>
    <row r="239">
      <c r="A239" s="78" t="inlineStr"/>
    </row>
    <row r="240">
      <c r="A240" s="78" t="inlineStr">
        <is>
          <t>===============================================================================================</t>
        </is>
      </c>
    </row>
    <row r="241">
      <c r="A241" s="79" t="inlineStr">
        <is>
          <t># RUNTIME / PLATFORM</t>
        </is>
      </c>
    </row>
    <row r="242">
      <c r="A242" s="78" t="inlineStr">
        <is>
          <t>===============================================================================================</t>
        </is>
      </c>
    </row>
    <row r="243">
      <c r="A243" s="78" t="inlineStr"/>
    </row>
    <row r="244">
      <c r="A244" s="78" t="inlineStr">
        <is>
          <t>Pure Python. NO Excel install required for the build.</t>
        </is>
      </c>
    </row>
    <row r="245">
      <c r="A245" s="78" t="inlineStr"/>
    </row>
    <row r="246">
      <c r="A246" s="78" t="inlineStr">
        <is>
          <t xml:space="preserve">  register_scaffold.py + register_polish.py + tests   Windows / macOS / Linux / Docker / CI</t>
        </is>
      </c>
    </row>
    <row r="247">
      <c r="A247" s="78" t="inlineStr">
        <is>
          <t xml:space="preserve">  Monte Carlo engine (xlwings Lite, Pyodide)          Excel only (Win / Mac / web + add-in)</t>
        </is>
      </c>
    </row>
    <row r="248">
      <c r="A248" s="78" t="inlineStr">
        <is>
          <t xml:space="preserve">  tier1_headless.py runner                            anywhere - the CI-safe compute path</t>
        </is>
      </c>
    </row>
    <row r="249">
      <c r="A249" s="78" t="inlineStr"/>
    </row>
    <row r="250">
      <c r="A250" s="78" t="inlineStr">
        <is>
          <t>Paths are repo-root anchored via ROOT = Path(__file__).resolve().parents[1], NOT cwd-relative,</t>
        </is>
      </c>
    </row>
    <row r="251">
      <c r="A251" s="78" t="inlineStr">
        <is>
          <t>so the module runs from any working directory. Forward slashes in Path() normalise correctly on</t>
        </is>
      </c>
    </row>
    <row r="252">
      <c r="A252" s="78" t="inlineStr">
        <is>
          <t>Windows - nothing here is OS-specific. The only environment-specific value is the workbook</t>
        </is>
      </c>
    </row>
    <row r="253">
      <c r="A253" s="78" t="inlineStr">
        <is>
          <t>path, which is a CLI argument with DEFAULT_WORKBOOK as the fallback.</t>
        </is>
      </c>
    </row>
    <row r="254">
      <c r="A254" s="78" t="inlineStr"/>
    </row>
    <row r="255">
      <c r="A255" s="78" t="inlineStr">
        <is>
          <t>## Two gotchas that WILL cost an hour if you do not know them</t>
        </is>
      </c>
    </row>
    <row r="256">
      <c r="A256" s="78" t="inlineStr"/>
    </row>
    <row r="257">
      <c r="A257" s="78" t="inlineStr">
        <is>
          <t>1. openpyxl DOES NOT CALCULATE FORMULAS. It writes the formula string with no cached result.</t>
        </is>
      </c>
    </row>
    <row r="258">
      <c r="A258" s="78" t="inlineStr">
        <is>
          <t xml:space="preserve">   A freshly polished file from CI has None behind every formula cell until Excel opens it and</t>
        </is>
      </c>
    </row>
    <row r="259">
      <c r="A259" s="78" t="inlineStr">
        <is>
          <t xml:space="preserve">   recalculates. Concretely: the Charts helper columns are all formulas, so THE CHARTS WILL</t>
        </is>
      </c>
    </row>
    <row r="260">
      <c r="A260" s="78" t="inlineStr">
        <is>
          <t xml:space="preserve">   LOOK EMPTY in anything that does not recalc - LibreOffice preview, headless PDF export,</t>
        </is>
      </c>
    </row>
    <row r="261">
      <c r="A261" s="78" t="inlineStr">
        <is>
          <t xml:space="preserve">   pandas.read_excel, load_workbook(data_only=True). Open once in Excel and they populate.</t>
        </is>
      </c>
    </row>
    <row r="262">
      <c r="A262" s="78" t="inlineStr">
        <is>
          <t xml:space="preserve">   This is expected behaviour, not a bug. Do not "fix" it by hardcoding values.</t>
        </is>
      </c>
    </row>
    <row r="263">
      <c r="A263" s="78" t="inlineStr"/>
    </row>
    <row r="264">
      <c r="A264" s="78" t="inlineStr">
        <is>
          <t>2. The golden-file test MUST use data_only=False (the default). With data_only=True both sides</t>
        </is>
      </c>
    </row>
    <row r="265">
      <c r="A265" s="78" t="inlineStr">
        <is>
          <t xml:space="preserve">   read None, every comparison trivially matches, and the suite goes green while proving</t>
        </is>
      </c>
    </row>
    <row r="266">
      <c r="A266" s="78" t="inlineStr">
        <is>
          <t xml:space="preserve">   nothing. Worst possible failure mode.</t>
        </is>
      </c>
    </row>
    <row r="267">
      <c r="A267" s="78" t="inlineStr"/>
    </row>
    <row r="268">
      <c r="A268" s="78" t="inlineStr">
        <is>
          <t>If calculated values are genuinely needed headlessly: LibreOffice --headless --convert-to xlsx</t>
        </is>
      </c>
    </row>
    <row r="269">
      <c r="A269" s="78" t="inlineStr">
        <is>
          <t>forces a recalc, or use the `formulas` library. Both are heavier than they sound - avoid unless</t>
        </is>
      </c>
    </row>
    <row r="270">
      <c r="A270" s="78" t="inlineStr">
        <is>
          <t>there is a real requirement.</t>
        </is>
      </c>
    </row>
    <row r="271">
      <c r="A271" s="78" t="inlineStr">
        <is>
          <t>===============================================================================================</t>
        </is>
      </c>
    </row>
    <row r="272">
      <c r="A272" s="79" t="inlineStr">
        <is>
          <t># RULES - do not violate these</t>
        </is>
      </c>
    </row>
    <row r="273">
      <c r="A273" s="78" t="inlineStr">
        <is>
          <t>===============================================================================================</t>
        </is>
      </c>
    </row>
    <row r="274">
      <c r="A274" s="78" t="inlineStr"/>
    </row>
    <row r="275">
      <c r="A275" s="78" t="inlineStr">
        <is>
          <t>1.  openpyxl has NO autofit. Widths are explicit, or via the autofit() emulator with</t>
        </is>
      </c>
    </row>
    <row r="276">
      <c r="A276" s="78" t="inlineStr">
        <is>
          <t xml:space="preserve">    ignore_rows for note rows that sit inside a data column.</t>
        </is>
      </c>
    </row>
    <row r="277">
      <c r="A277" s="78" t="inlineStr">
        <is>
          <t>2.  NEVER write font colour. blue = input, black = formula, amber fill = model write-back,</t>
        </is>
      </c>
    </row>
    <row r="278">
      <c r="A278" s="78" t="inlineStr">
        <is>
          <t xml:space="preserve">    thin blue border = model-read. The TOC cell-type legend depends on it. Polisher._guard()</t>
        </is>
      </c>
    </row>
    <row r="279">
      <c r="A279" s="78" t="inlineStr">
        <is>
          <t xml:space="preserve">    enforces this - do not weaken it.</t>
        </is>
      </c>
    </row>
    <row r="280">
      <c r="A280" s="78" t="inlineStr">
        <is>
          <t>3.  Lists column headers are in ROW 2. Row 1 is the cascade note.</t>
        </is>
      </c>
    </row>
    <row r="281">
      <c r="A281" s="78" t="inlineStr">
        <is>
          <t>4.  Numeric P-level columns must be TEXT to chart as categories, else Excel makes them a series.</t>
        </is>
      </c>
    </row>
    <row r="282">
      <c r="A282" s="78" t="inlineStr">
        <is>
          <t>5.  Scatter needs X (cost) LEFT of Y (probability). The Simulation source has them reversed;</t>
        </is>
      </c>
    </row>
    <row r="283">
      <c r="A283" s="78" t="inlineStr">
        <is>
          <t xml:space="preserve">    that is what the Charts!X:Y helper block is for.</t>
        </is>
      </c>
    </row>
    <row r="284">
      <c r="A284" s="78" t="inlineStr">
        <is>
          <t>6.  Tornado needs a reversed category axis (maxMin) so the largest risk is at the top.</t>
        </is>
      </c>
    </row>
    <row r="285">
      <c r="A285" s="78" t="inlineStr">
        <is>
          <t>7.  Charts tab stays UNPROTECTED. Sheet protection disables the column-outline +/- toggle</t>
        </is>
      </c>
    </row>
    <row r="286">
      <c r="A286" s="78" t="inlineStr">
        <is>
          <t xml:space="preserve">    (EnableOutlining is VBA-only).</t>
        </is>
      </c>
    </row>
    <row r="287">
      <c r="A287" s="78" t="inlineStr">
        <is>
          <t>8.  Simulation!H4 is PERCENT-AS-NUMBER (0.1189 = 0.119%), not a fraction. VERIFY THIS against</t>
        </is>
      </c>
    </row>
    <row r="288">
      <c r="A288" s="78" t="inlineStr">
        <is>
          <t xml:space="preserve">    the engine - it is the one value the formatting pass had to infer.</t>
        </is>
      </c>
    </row>
    <row r="289">
      <c r="A289" s="78" t="inlineStr">
        <is>
          <t>9.  Polish Inbox is NOT delete-then-recreate. It carries state (status / merged_in). Charts and</t>
        </is>
      </c>
    </row>
    <row r="290">
      <c r="A290" s="78" t="inlineStr">
        <is>
          <t xml:space="preserve">    Build Log are recreated every run; the inbox is not.</t>
        </is>
      </c>
    </row>
    <row r="291">
      <c r="A291" s="78" t="inlineStr">
        <is>
          <t>10. Sheet protection: unprotect -&gt; format -&gt; re-protect, workbook structure last.</t>
        </is>
      </c>
    </row>
    <row r="292">
      <c r="A292" s="78" t="inlineStr"/>
    </row>
    <row r="293">
      <c r="A293" s="78" t="inlineStr"/>
    </row>
    <row r="294">
      <c r="A294" s="78" t="inlineStr">
        <is>
          <t>===============================================================================================</t>
        </is>
      </c>
    </row>
    <row r="295">
      <c r="A295" s="79" t="inlineStr">
        <is>
          <t># STEP 4 - MAKE THE META TABS SELF-REGENERATING  (do not skip - the loop dies without it)</t>
        </is>
      </c>
    </row>
    <row r="296">
      <c r="A296" s="78" t="inlineStr">
        <is>
          <t>===============================================================================================</t>
        </is>
      </c>
    </row>
    <row r="297">
      <c r="A297" s="78" t="inlineStr"/>
    </row>
    <row r="298">
      <c r="A298" s="78" t="inlineStr">
        <is>
          <t>polish() creates Charts and Build Log. It does NOT yet create the other three meta tabs, so a</t>
        </is>
      </c>
    </row>
    <row r="299">
      <c r="A299" s="78" t="inlineStr">
        <is>
          <t>brand-new workbook from a clean checkout would come back WITHOUT the handoff apparatus and the</t>
        </is>
      </c>
    </row>
    <row r="300">
      <c r="A300" s="78" t="inlineStr">
        <is>
          <t>loop would quietly stop working after one cycle.</t>
        </is>
      </c>
    </row>
    <row r="301">
      <c r="A301" s="78" t="inlineStr"/>
    </row>
    <row r="302">
      <c r="A302" s="78" t="inlineStr">
        <is>
          <t>FILE 2 ADDENDUM 2 on Reference (polish) supplies render_reference(), render_handoff() and</t>
        </is>
      </c>
    </row>
    <row r="303">
      <c r="A303" s="78" t="inlineStr">
        <is>
          <t>ensure_inbox(). Wire all three into the tail of Polisher.run(), after _write_log().</t>
        </is>
      </c>
    </row>
    <row r="304">
      <c r="A304" s="78" t="inlineStr"/>
    </row>
    <row r="305">
      <c r="A305" s="78" t="inlineStr">
        <is>
          <t xml:space="preserve">  Charts              recreate every run       (already done)</t>
        </is>
      </c>
    </row>
    <row r="306">
      <c r="A306" s="78" t="inlineStr">
        <is>
          <t xml:space="preserve">  Build Log           render of the YAML       (already done)</t>
        </is>
      </c>
    </row>
    <row r="307">
      <c r="A307" s="78" t="inlineStr">
        <is>
          <t xml:space="preserve">  Reference (polish)  render of the SOURCE FILES ON DISK</t>
        </is>
      </c>
    </row>
    <row r="308">
      <c r="A308" s="78" t="inlineStr">
        <is>
          <t xml:space="preserve">  Handoff Prompt      render of docs/POLISH_HANDOFF.md</t>
        </is>
      </c>
    </row>
    <row r="309">
      <c r="A309" s="78" t="inlineStr">
        <is>
          <t xml:space="preserve">  Polish Inbox        CREATE IF MISSING only - it carries state, never recreate</t>
        </is>
      </c>
    </row>
    <row r="310">
      <c r="A310" s="78" t="inlineStr"/>
    </row>
    <row r="311">
      <c r="A311" s="78" t="inlineStr">
        <is>
          <t>One-time setup: save this tab's column A as docs/POLISH_HANDOFF.md and commit it. From then on</t>
        </is>
      </c>
    </row>
    <row r="312">
      <c r="A312" s="78" t="inlineStr">
        <is>
          <t>the brief is version-controlled, it can evolve, and every regenerated register carries the</t>
        </is>
      </c>
    </row>
    <row r="313">
      <c r="A313" s="78" t="inlineStr">
        <is>
          <t>CURRENT version of it. That is what makes these instructions changeable over time without</t>
        </is>
      </c>
    </row>
    <row r="314">
      <c r="A314" s="78" t="inlineStr">
        <is>
          <t>anyone having to touch an xlsx.</t>
        </is>
      </c>
    </row>
    <row r="315">
      <c r="A315" s="78" t="inlineStr"/>
    </row>
    <row r="316">
      <c r="A316" s="78" t="inlineStr">
        <is>
          <t>Acceptance: delete all five generated tabs from a copy, run polish(), and all five come back.</t>
        </is>
      </c>
    </row>
    <row r="317">
      <c r="A317" s="78" t="inlineStr"/>
    </row>
    <row r="318">
      <c r="A318" s="78" t="inlineStr"/>
    </row>
    <row r="319">
      <c r="A319" s="78" t="inlineStr">
        <is>
          <t>===============================================================================================</t>
        </is>
      </c>
    </row>
    <row r="320">
      <c r="A320" s="79" t="inlineStr">
        <is>
          <t># DEFINITION OF DONE</t>
        </is>
      </c>
    </row>
    <row r="321">
      <c r="A321" s="78" t="inlineStr">
        <is>
          <t>===============================================================================================</t>
        </is>
      </c>
    </row>
    <row r="322">
      <c r="A322" s="78" t="inlineStr"/>
    </row>
    <row r="323">
      <c r="A323" s="78" t="inlineStr">
        <is>
          <t xml:space="preserve">  [ ] tools/extract_polish_source.py run; three files created and parsing</t>
        </is>
      </c>
    </row>
    <row r="324">
      <c r="A324" s="78" t="inlineStr">
        <is>
          <t xml:space="preserve">  [ ] both addenda folded into tools/register_polish.py, temp file deleted</t>
        </is>
      </c>
    </row>
    <row r="325">
      <c r="A325" s="78" t="inlineStr">
        <is>
          <t xml:space="preserve">  [ ] every Build Log step id present in config/polish_spec.yaml</t>
        </is>
      </c>
    </row>
    <row r="326">
      <c r="A326" s="78" t="inlineStr">
        <is>
          <t xml:space="preserve">  [ ] polish() wired as the LAST build step</t>
        </is>
      </c>
    </row>
    <row r="327">
      <c r="A327" s="78" t="inlineStr">
        <is>
          <t xml:space="preserve">  [ ] tests/golden/wind_register_polished.xlsx saved from the pre-regeneration workbook</t>
        </is>
      </c>
    </row>
    <row r="328">
      <c r="A328" s="78" t="inlineStr">
        <is>
          <t xml:space="preserve">  [ ] tests/test_polish.py passing: smoke, idempotency, fidelity, invariants, inbox merge</t>
        </is>
      </c>
    </row>
    <row r="329">
      <c r="A329" s="78" t="inlineStr">
        <is>
          <t xml:space="preserve">  [ ] full pipeline run from clean produces a register with 5 charts and house formatting</t>
        </is>
      </c>
    </row>
    <row r="330">
      <c r="A330" s="78" t="inlineStr">
        <is>
          <t xml:space="preserve">  [ ] render_reference / render_handoff / ensure_inbox wired into Polisher.run()</t>
        </is>
      </c>
    </row>
    <row r="331">
      <c r="A331" s="78" t="inlineStr">
        <is>
          <t xml:space="preserve">  [ ] docs/POLISH_HANDOFF.md committed (one-time, saved from this tab)</t>
        </is>
      </c>
    </row>
    <row r="332">
      <c r="A332" s="78" t="inlineStr">
        <is>
          <t xml:space="preserve">  [ ] delete all five generated tabs from a copy, run polish(), all five return</t>
        </is>
      </c>
    </row>
    <row r="333">
      <c r="A333" s="78" t="inlineStr">
        <is>
          <t xml:space="preserve">  [ ] Validate Contract button still returns PASS (structural edits can break named ranges)</t>
        </is>
      </c>
    </row>
    <row r="334">
      <c r="A334" s="78" t="inlineStr"/>
    </row>
    <row r="335">
      <c r="A335" s="78" t="inlineStr">
        <is>
          <t>===============================================================================================</t>
        </is>
      </c>
    </row>
    <row r="336">
      <c r="A336" s="79" t="inlineStr">
        <is>
          <t># THE STEADY-STATE LOOP (after this handoff)</t>
        </is>
      </c>
    </row>
    <row r="337">
      <c r="A337" s="78" t="inlineStr">
        <is>
          <t>===============================================================================================</t>
        </is>
      </c>
    </row>
    <row r="338">
      <c r="A338" s="78" t="inlineStr"/>
    </row>
    <row r="339">
      <c r="A339" s="78" t="inlineStr">
        <is>
          <t xml:space="preserve">  Claude Code regenerates  -&gt;  polish() runs last  -&gt;  charts + formatting reappear. No human.</t>
        </is>
      </c>
    </row>
    <row r="340">
      <c r="A340" s="78" t="inlineStr"/>
    </row>
    <row r="341">
      <c r="A341" s="78" t="inlineStr">
        <is>
          <t xml:space="preserve">  New design need?  -&gt;  open the workbook, ask Claude-in-Excel  -&gt;  it appends a row to</t>
        </is>
      </c>
    </row>
    <row r="342">
      <c r="A342" s="78" t="inlineStr">
        <is>
          <t xml:space="preserve">  Polish Inbox with status = pending  -&gt;  hand the file back  -&gt;  merge_inbox() folds it into</t>
        </is>
      </c>
    </row>
    <row r="343">
      <c r="A343" s="78" t="inlineStr">
        <is>
          <t xml:space="preserve">  the YAML on the next run.</t>
        </is>
      </c>
    </row>
    <row r="344">
      <c r="A344" s="78" t="inlineStr"/>
    </row>
    <row r="345">
      <c r="A345" s="78" t="inlineStr">
        <is>
          <t xml:space="preserve">  Canonical      config/polish_spec.yaml   (in the repo)</t>
        </is>
      </c>
    </row>
    <row r="346">
      <c r="A346" s="78" t="inlineStr">
        <is>
          <t xml:space="preserve">  Rendered       Reference (polish) tab    (output - do not edit)</t>
        </is>
      </c>
    </row>
    <row r="347">
      <c r="A347" s="78" t="inlineStr">
        <is>
          <t xml:space="preserve">  Queue          Polish Inbox tab          (the only place amendments are written)</t>
        </is>
      </c>
    </row>
    <row r="348">
      <c r="A348" s="78" t="inlineStr"/>
    </row>
    <row r="349">
      <c r="A349" s="78" t="inlineStr">
        <is>
          <t xml:space="preserve">  If anyone hand-formats cells instead of raising an inbox row, the loop is broken and the</t>
        </is>
      </c>
    </row>
    <row r="350">
      <c r="A350" s="78" t="inlineStr">
        <is>
          <t xml:space="preserve">  next regeneration silently discards the work. That is the failure this whole structure exists</t>
        </is>
      </c>
    </row>
    <row r="351">
      <c r="A351" s="78" t="inlineStr">
        <is>
          <t xml:space="preserve">  to prevent.</t>
        </is>
      </c>
    </row>
    <row r="352">
      <c r="A352" s="78" t="inlineStr"/>
    </row>
    <row r="353">
      <c r="A353" s="78" t="inlineStr">
        <is>
          <t>===============================================================================================</t>
        </is>
      </c>
    </row>
    <row r="354">
      <c r="A354" s="79" t="inlineStr">
        <is>
          <t># KNOWN GAPS - be sceptical, not trusting</t>
        </is>
      </c>
    </row>
    <row r="355">
      <c r="A355" s="78" t="inlineStr">
        <is>
          <t>===============================================================================================</t>
        </is>
      </c>
    </row>
    <row r="356">
      <c r="A356" s="78" t="inlineStr"/>
    </row>
    <row r="357">
      <c r="A357" s="78" t="inlineStr">
        <is>
          <t xml:space="preserve">  * NONE of the shipped Python has been executed. It was written against the openpyxl API and</t>
        </is>
      </c>
    </row>
    <row r="358">
      <c r="A358" s="78" t="inlineStr">
        <is>
          <t xml:space="preserve">    reviewed, not run. One signature bug was already found and fixed by inspection</t>
        </is>
      </c>
    </row>
    <row r="359">
      <c r="A359" s="78" t="inlineStr">
        <is>
          <t xml:space="preserve">    (build_chart took wb but was called without it). Assume more.</t>
        </is>
      </c>
    </row>
    <row r="360">
      <c r="A360" s="78" t="inlineStr">
        <is>
          <t xml:space="preserve">  * The YAML omits some repetitive "... format" sub-steps - Step 1 above closes that.</t>
        </is>
      </c>
    </row>
    <row r="361">
      <c r="A361" s="78" t="inlineStr">
        <is>
          <t xml:space="preserve">  * autofit() is a character-count approximation. Proportional fonts put it ~10% out.</t>
        </is>
      </c>
    </row>
    <row r="362">
      <c r="A362" s="78" t="inlineStr">
        <is>
          <t xml:space="preserve">  * yaml.safe_dump strips comments from polish_spec.yaml on inbox merge. If the comments</t>
        </is>
      </c>
    </row>
    <row r="363">
      <c r="A363" s="78" t="inlineStr">
        <is>
          <t xml:space="preserve">    matter, switch to ruamel.yaml round-trip mode - same call shape.</t>
        </is>
      </c>
    </row>
    <row r="364">
      <c r="A364" s="78" t="inlineStr">
        <is>
          <t xml:space="preserve">  * The extractor is line-based and untested against this exact workbook.</t>
        </is>
      </c>
    </row>
    <row r="365">
      <c r="A365" s="78" t="inlineStr"/>
    </row>
    <row r="366">
      <c r="A366" s="78" t="inlineStr"/>
    </row>
    <row r="367">
      <c r="A367" s="78" t="inlineStr">
        <is>
          <t>===============================================================================================</t>
        </is>
      </c>
    </row>
    <row r="368">
      <c r="A368" s="79" t="inlineStr">
        <is>
          <t># SCAFFOLD CHANGES - these do NOT belong in polish_spec.yaml</t>
        </is>
      </c>
    </row>
    <row r="369">
      <c r="A369" s="78" t="inlineStr">
        <is>
          <t>===============================================================================================</t>
        </is>
      </c>
    </row>
    <row r="370">
      <c r="A370" s="78" t="inlineStr"/>
    </row>
    <row r="371">
      <c r="A371" s="78" t="inlineStr">
        <is>
          <t>Step 1 tells you to fold every Build Log step into the YAML. THESE ARE THE EXCEPTIONS. They</t>
        </is>
      </c>
    </row>
    <row r="372">
      <c r="A372" s="78" t="inlineStr">
        <is>
          <t>change cell SEMANTICS (font colour, lock state, descriptions), which the polish layer is</t>
        </is>
      </c>
    </row>
    <row r="373">
      <c r="A373" s="78" t="inlineStr">
        <is>
          <t>forbidden to touch - Polisher._guard() will raise if you try. They belong in</t>
        </is>
      </c>
    </row>
    <row r="374">
      <c r="A374" s="78" t="inlineStr">
        <is>
          <t>tools/register_scaffold.py instead.</t>
        </is>
      </c>
    </row>
    <row r="375">
      <c r="A375" s="78" t="inlineStr"/>
    </row>
    <row r="376">
      <c r="A376" s="78" t="inlineStr">
        <is>
          <t>Build Log 57  Mapping A2:E11 must be produced as an INPUT range:</t>
        </is>
      </c>
    </row>
    <row r="377">
      <c r="A377" s="78" t="inlineStr">
        <is>
          <t xml:space="preserve">                  font #0000CC, protection locked = False</t>
        </is>
      </c>
    </row>
    <row r="378">
      <c r="A378" s="78" t="inlineStr">
        <is>
          <t xml:space="preserve">              It was black + locked + static, which under the TOC legend reads as "live</t>
        </is>
      </c>
    </row>
    <row r="379">
      <c r="A379" s="78" t="inlineStr">
        <is>
          <t xml:space="preserve">              formula, do not overwrite", and sheet protection made the user's own P6</t>
        </is>
      </c>
    </row>
    <row r="380">
      <c r="A380" s="78" t="inlineStr">
        <is>
          <t xml:space="preserve">              binding data uneditable. Applied by hand in the golden workbook; the SCAFFOLD</t>
        </is>
      </c>
    </row>
    <row r="381">
      <c r="A381" s="78" t="inlineStr">
        <is>
          <t xml:space="preserve">              must reproduce it or the next regeneration silently reverts it.</t>
        </is>
      </c>
    </row>
    <row r="382">
      <c r="A382" s="78" t="inlineStr"/>
    </row>
    <row r="383">
      <c r="A383" s="78" t="inlineStr">
        <is>
          <t>Build Log 58  TOC description for MC_Params must NOT say "legacy VBA config surface".</t>
        </is>
      </c>
    </row>
    <row r="384">
      <c r="A384" s="78" t="inlineStr">
        <is>
          <t xml:space="preserve">              MC_Params is the live MODEL-parameter surface: TIC (C6), reporting P-level</t>
        </is>
      </c>
    </row>
    <row r="385">
      <c r="A385" s="78" t="inlineStr">
        <is>
          <t xml:space="preserve">              (C5), cascade params (C7:C14), CG coefficients and capex bases (C20:C31),</t>
        </is>
      </c>
    </row>
    <row r="386">
      <c r="A386" s="78" t="inlineStr">
        <is>
          <t xml:space="preserve">              and named range MC_day_rate = MC_Params!$C$15 is part of the 38-range</t>
        </is>
      </c>
    </row>
    <row r="387">
      <c r="A387" s="78" t="inlineStr">
        <is>
          <t xml:space="preserve">              contract. Settings is the live RUN-config surface. The two are not the same</t>
        </is>
      </c>
    </row>
    <row r="388">
      <c r="A388" s="78" t="inlineStr">
        <is>
          <t xml:space="preserve">              thing and MC_Params MUST NOT be deleted - doing so fails Validate Contract</t>
        </is>
      </c>
    </row>
    <row r="389">
      <c r="A389" s="78" t="inlineStr">
        <is>
          <t xml:space="preserve">              and breaks the Dashboard headline.</t>
        </is>
      </c>
    </row>
    <row r="390">
      <c r="A390" s="78" t="inlineStr"/>
    </row>
    <row r="391">
      <c r="A391" s="78" t="inlineStr">
        <is>
          <t>Build Log 59  The convention audit was UNIFORM-RANGE ONLY. Risk Register, Lists, Settings and</t>
        </is>
      </c>
    </row>
    <row r="392">
      <c r="A392" s="78" t="inlineStr">
        <is>
          <t xml:space="preserve">              Methodology have mixed font/lock states and were NOT audited. Do not treat the</t>
        </is>
      </c>
    </row>
    <row r="393">
      <c r="A393" s="78" t="inlineStr">
        <is>
          <t xml:space="preserve">              audit as a clean bill of health. A proper per-cell audit is still owed.</t>
        </is>
      </c>
    </row>
    <row r="394">
      <c r="A394" s="78" t="inlineStr"/>
    </row>
    <row r="395">
      <c r="A395" s="78" t="inlineStr">
        <is>
          <t>Acceptance: a freshly scaffolded register has Mapping!A2 blue and unlocked BEFORE polish runs.</t>
        </is>
      </c>
    </row>
    <row r="396">
      <c r="A396" s="78" t="inlineStr">
        <is>
          <t>===============================================================================================</t>
        </is>
      </c>
    </row>
    <row r="397">
      <c r="A397" s="78" t="inlineStr">
        <is>
          <t>END OF BRIEF</t>
        </is>
      </c>
    </row>
    <row r="398">
      <c r="A398" s="78" t="inlineStr">
        <is>
          <t>===============================================================================================</t>
        </is>
      </c>
    </row>
  </sheetData>
  <pageMargins left="0.75" right="0.75" top="1" bottom="1" header="0.5" footer="0.5"/>
</worksheet>
</file>

<file path=xl/worksheets/sheet17.xml><?xml version="1.0" encoding="utf-8"?>
<worksheet xmlns="http://schemas.openxmlformats.org/spreadsheetml/2006/main">
  <sheetPr>
    <tabColor rgb="FF7F7F7F"/>
    <outlinePr summaryBelow="1" summaryRight="1"/>
    <pageSetUpPr/>
  </sheetPr>
  <dimension ref="A1:G70"/>
  <sheetViews>
    <sheetView showGridLines="0" workbookViewId="0">
      <pane ySplit="9" topLeftCell="A10" activePane="bottomLeft" state="frozen"/>
      <selection pane="bottomLeft" activeCell="A1" sqref="A1"/>
    </sheetView>
  </sheetViews>
  <sheetFormatPr baseColWidth="8" defaultRowHeight="15"/>
  <sheetData>
    <row r="1">
      <c r="A1" s="40" t="inlineStr">
        <is>
          <t>Build Log - presentation layer spec (rendered from config/polish_spec.yaml)</t>
        </is>
      </c>
    </row>
    <row r="2">
      <c r="A2" s="41" t="inlineStr">
        <is>
          <t>Generated. Do not hand-edit - edit the YAML and re-run tools/register_polish.py.</t>
        </is>
      </c>
    </row>
    <row r="4">
      <c r="A4" s="5" t="inlineStr">
        <is>
          <t>Spec version</t>
        </is>
      </c>
      <c r="B4" t="inlineStr">
        <is>
          <t>polish-v02</t>
        </is>
      </c>
    </row>
    <row r="5">
      <c r="A5" s="5" t="inlineStr">
        <is>
          <t>Applies to</t>
        </is>
      </c>
      <c r="B5" t="inlineStr">
        <is>
          <t>wind_register.xlsx / register contract v1.4</t>
        </is>
      </c>
    </row>
    <row r="6">
      <c r="A6" s="5" t="inlineStr">
        <is>
          <t>Run order</t>
        </is>
      </c>
      <c r="B6" t="inlineStr">
        <is>
          <t>LAST - after scaffold, after Simulation is populated</t>
        </is>
      </c>
    </row>
    <row r="7">
      <c r="A7" s="5" t="inlineStr">
        <is>
          <t>Idempotent</t>
        </is>
      </c>
      <c r="B7" t="b">
        <v>1</v>
      </c>
    </row>
    <row r="9">
      <c r="A9" s="57" t="inlineStr">
        <is>
          <t>#</t>
        </is>
      </c>
      <c r="B9" s="57" t="inlineStr">
        <is>
          <t>Step</t>
        </is>
      </c>
      <c r="C9" s="57" t="inlineStr">
        <is>
          <t>Target sheet</t>
        </is>
      </c>
      <c r="D9" s="57" t="inlineStr">
        <is>
          <t>Range / object</t>
        </is>
      </c>
      <c r="E9" s="57" t="inlineStr">
        <is>
          <t>Action</t>
        </is>
      </c>
      <c r="F9" s="57" t="inlineStr">
        <is>
          <t>Detail / value</t>
        </is>
      </c>
      <c r="G9" s="57" t="inlineStr">
        <is>
          <t>Why</t>
        </is>
      </c>
    </row>
    <row r="10">
      <c r="A10" s="80" t="n">
        <v>1</v>
      </c>
      <c r="B10" s="80" t="inlineStr">
        <is>
          <t>Unprotect workbook structure</t>
        </is>
      </c>
      <c r="C10" s="80" t="inlineStr">
        <is>
          <t>(workbook)</t>
        </is>
      </c>
      <c r="D10" s="80" t="inlineStr">
        <is>
          <t>workbook.protection</t>
        </is>
      </c>
      <c r="E10" s="80" t="inlineStr">
        <is>
          <t>unprotect</t>
        </is>
      </c>
      <c r="F10" s="80" t="inlineStr">
        <is>
          <t>No password</t>
        </is>
      </c>
      <c r="G10" s="80" t="inlineStr">
        <is>
          <t>REG04 locks structure; sheets cannot be added until released</t>
        </is>
      </c>
    </row>
    <row r="11">
      <c r="A11" s="80" t="n">
        <v>2</v>
      </c>
      <c r="B11" s="80" t="inlineStr">
        <is>
          <t>Create Charts sheet</t>
        </is>
      </c>
      <c r="C11" s="80" t="inlineStr">
        <is>
          <t>Charts</t>
        </is>
      </c>
      <c r="D11" s="80" t="inlineStr">
        <is>
          <t>(sheet)</t>
        </is>
      </c>
      <c r="E11" s="80" t="inlineStr">
        <is>
          <t>add / recreate</t>
        </is>
      </c>
      <c r="F11" s="80" t="inlineStr">
        <is>
          <t>position 1, tabColor navy, gridlines off</t>
        </is>
      </c>
      <c r="G11" s="80" t="inlineStr">
        <is>
          <t>Dashboard tab; keeps protected machine tabs untouched</t>
        </is>
      </c>
    </row>
    <row r="12">
      <c r="A12" s="80" t="n">
        <v>3</v>
      </c>
      <c r="B12" s="80" t="inlineStr">
        <is>
          <t>Title block</t>
        </is>
      </c>
      <c r="C12" s="80" t="inlineStr">
        <is>
          <t>Charts</t>
        </is>
      </c>
      <c r="D12" s="80" t="inlineStr">
        <is>
          <t>A1:A2</t>
        </is>
      </c>
      <c r="E12" s="80" t="inlineStr">
        <is>
          <t>write text</t>
        </is>
      </c>
      <c r="F12" s="80" t="inlineStr">
        <is>
          <t xml:space="preserve">A1 title 14pt bold navy; A2 provenance note 9pt italic grey. A1 is a FORMULA on Set_ProjectName / Set_ProjectNumber, not the literal project string - the polish layer is shared across projects and must not carry a project identifier.
</t>
        </is>
      </c>
      <c r="G12" s="80" t="inlineStr">
        <is>
          <t>Reader knows the charts are generated, not hand-made</t>
        </is>
      </c>
    </row>
    <row r="13">
      <c r="A13" s="80" t="n">
        <v>4</v>
      </c>
      <c r="B13" s="80" t="inlineStr">
        <is>
          <t>Tornado helper - tie-break key</t>
        </is>
      </c>
      <c r="C13" s="80" t="inlineStr">
        <is>
          <t>Charts</t>
        </is>
      </c>
      <c r="D13" s="80" t="inlineStr">
        <is>
          <t>V3:V37</t>
        </is>
      </c>
      <c r="E13" s="80" t="inlineStr">
        <is>
          <t>formula</t>
        </is>
      </c>
      <c r="F13" s="80" t="inlineStr">
        <is>
          <t>='EMV &amp; Mode Analysis'!B12-ROW()/1000000 (filled down)</t>
        </is>
      </c>
      <c r="G13" s="80" t="inlineStr">
        <is>
          <t>Breaks duplicate EMV values so LARGE/MATCH ranks uniquely</t>
        </is>
      </c>
    </row>
    <row r="14">
      <c r="A14" s="80" t="n">
        <v>5</v>
      </c>
      <c r="B14" s="80" t="inlineStr">
        <is>
          <t>Tornado helper - rank</t>
        </is>
      </c>
      <c r="C14" s="80" t="inlineStr">
        <is>
          <t>Charts</t>
        </is>
      </c>
      <c r="D14" s="80" t="inlineStr">
        <is>
          <t>R3:R17</t>
        </is>
      </c>
      <c r="E14" s="80" t="inlineStr">
        <is>
          <t>formula</t>
        </is>
      </c>
      <c r="F14" s="80" t="inlineStr">
        <is>
          <t>R3 = 1 literal; R4:R17 = previous + 1</t>
        </is>
      </c>
      <c r="G14" s="80" t="inlineStr">
        <is>
          <t>Top-15 rank index that steps 6 and 7 LARGE() against</t>
        </is>
      </c>
    </row>
    <row r="15">
      <c r="A15" s="80" t="n">
        <v>6</v>
      </c>
      <c r="B15" s="80" t="inlineStr">
        <is>
          <t>Tornado helper - label</t>
        </is>
      </c>
      <c r="C15" s="80" t="inlineStr">
        <is>
          <t>Charts</t>
        </is>
      </c>
      <c r="D15" s="80" t="inlineStr">
        <is>
          <t>S3:S17</t>
        </is>
      </c>
      <c r="E15" s="80" t="inlineStr">
        <is>
          <t>formula</t>
        </is>
      </c>
      <c r="F15" s="80" t="inlineStr">
        <is>
          <t>INDEX/MATCH on LARGE of the tie-break key</t>
        </is>
      </c>
      <c r="G15" s="80" t="inlineStr">
        <is>
          <t>Risk description for the ranked EMV</t>
        </is>
      </c>
    </row>
    <row r="16">
      <c r="A16" s="80" t="n">
        <v>7</v>
      </c>
      <c r="B16" s="80" t="inlineStr">
        <is>
          <t>Tornado helper - value</t>
        </is>
      </c>
      <c r="C16" s="80" t="inlineStr">
        <is>
          <t>Charts</t>
        </is>
      </c>
      <c r="D16" s="80" t="inlineStr">
        <is>
          <t>T3:T17</t>
        </is>
      </c>
      <c r="E16" s="80" t="inlineStr">
        <is>
          <t>formula</t>
        </is>
      </c>
      <c r="F16" s="80" t="inlineStr">
        <is>
          <t>Untie-broken EMV for display, money format</t>
        </is>
      </c>
      <c r="G16" s="80" t="inlineStr">
        <is>
          <t>The tie-break key in V is offset by ROW()/1e6 and must never be charted</t>
        </is>
      </c>
    </row>
    <row r="17">
      <c r="A17" s="80" t="n">
        <v>8</v>
      </c>
      <c r="B17" s="80" t="inlineStr">
        <is>
          <t>S-curve helper</t>
        </is>
      </c>
      <c r="C17" s="80" t="inlineStr">
        <is>
          <t>Charts</t>
        </is>
      </c>
      <c r="D17" s="80" t="inlineStr">
        <is>
          <t>X3:Y103</t>
        </is>
      </c>
      <c r="E17" s="80" t="inlineStr">
        <is>
          <t>formula</t>
        </is>
      </c>
      <c r="F17" s="80" t="inlineStr">
        <is>
          <t>X = Simulation!E (money), Y = Simulation!D (0%)</t>
        </is>
      </c>
      <c r="G17" s="80" t="inlineStr">
        <is>
          <t>Scatter needs X (cost) LEFT of Y (prob); the source has them reversed</t>
        </is>
      </c>
    </row>
    <row r="18">
      <c r="A18" s="80" t="n">
        <v>9</v>
      </c>
      <c r="B18" s="80" t="inlineStr">
        <is>
          <t>P-curve helper</t>
        </is>
      </c>
      <c r="C18" s="80" t="inlineStr">
        <is>
          <t>Charts</t>
        </is>
      </c>
      <c r="D18" s="80" t="inlineStr">
        <is>
          <t>AA3:AB21</t>
        </is>
      </c>
      <c r="E18" s="80" t="inlineStr">
        <is>
          <t>formula</t>
        </is>
      </c>
      <c r="F18" s="80" t="inlineStr">
        <is>
          <t>AA is TEXT ("P"&amp;level); AB is the cost</t>
        </is>
      </c>
      <c r="G18" s="80" t="inlineStr">
        <is>
          <t>Numeric P-level charts as a SERIES; text forces a category axis</t>
        </is>
      </c>
    </row>
    <row r="19">
      <c r="A19" s="80" t="n">
        <v>10</v>
      </c>
      <c r="B19" s="80" t="inlineStr">
        <is>
          <t>Sensitivity helper</t>
        </is>
      </c>
      <c r="C19" s="80" t="inlineStr">
        <is>
          <t>Charts</t>
        </is>
      </c>
      <c r="D19" s="80" t="inlineStr">
        <is>
          <t>AD3:AG21</t>
        </is>
      </c>
      <c r="E19" s="80" t="inlineStr">
        <is>
          <t>formula</t>
        </is>
      </c>
      <c r="F19" s="80" t="inlineStr">
        <is>
          <t>AD is TEXT; AE/AF/AG = Simulation J/K/L (rho=0 / elicited / rho=1)</t>
        </is>
      </c>
      <c r="G19" s="80" t="inlineStr">
        <is>
          <t>Same category fix; keeps the three rho series contiguous</t>
        </is>
      </c>
    </row>
    <row r="20">
      <c r="A20" s="80" t="n">
        <v>60</v>
      </c>
      <c r="B20" s="80" t="inlineStr">
        <is>
          <t>Helper block headings</t>
        </is>
      </c>
      <c r="C20" s="80" t="inlineStr">
        <is>
          <t>Charts</t>
        </is>
      </c>
      <c r="D20" s="80" t="inlineStr">
        <is>
          <t>R1:AG2</t>
        </is>
      </c>
      <c r="E20" s="80" t="inlineStr">
        <is>
          <t>write text</t>
        </is>
      </c>
      <c r="F20" s="80" t="inlineStr">
        <is>
          <t xml:space="preserve">Row 1 = block captions (9pt bold), row 2 = the column headings the charts read as SERIES TITLES via titles_from_data. Undocumented in the original Build Log but load-bearing: without row 2 every series is named "Series1". Ordered here, out of numeric sequence, because the chart steps that follow depend on it.
</t>
        </is>
      </c>
      <c r="G20" s="80" t="inlineStr">
        <is>
          <t>Series names come from row 2; block captions make the collapsed outline legible</t>
        </is>
      </c>
    </row>
    <row r="21">
      <c r="A21" s="80" t="n">
        <v>11</v>
      </c>
      <c r="B21" s="80" t="inlineStr">
        <is>
          <t>Chart: S-curve</t>
        </is>
      </c>
      <c r="C21" s="80" t="inlineStr">
        <is>
          <t>Charts</t>
        </is>
      </c>
      <c r="D21" s="80" t="inlineStr">
        <is>
          <t>chart_scurve</t>
        </is>
      </c>
      <c r="E21" s="80" t="inlineStr">
        <is>
          <t>add xyScatterLinesNoMarkers</t>
        </is>
      </c>
      <c r="F21" s="80" t="inlineStr">
        <is>
          <t>src Charts!X2:Y103; pos A4; legend off</t>
        </is>
      </c>
      <c r="G21" s="80" t="inlineStr">
        <is>
          <t>Cumulative cost distribution - primary QRA output</t>
        </is>
      </c>
    </row>
    <row r="22">
      <c r="A22" s="80" t="n">
        <v>12</v>
      </c>
      <c r="B22" s="80" t="inlineStr">
        <is>
          <t xml:space="preserve">   ... format</t>
        </is>
      </c>
      <c r="C22" s="80" t="inlineStr">
        <is>
          <t>Charts</t>
        </is>
      </c>
      <c r="D22" s="80" t="inlineStr">
        <is>
          <t>chart_scurve</t>
        </is>
      </c>
      <c r="E22" s="80" t="inlineStr">
        <is>
          <t>format</t>
        </is>
      </c>
      <c r="F22" s="80" t="inlineStr">
        <is>
          <t>catAxis $#,##0,,"M"; valAxis 0%; line navy w2.25; axis titles</t>
        </is>
      </c>
      <c r="G22" s="80" t="inlineStr">
        <is>
          <t>Readable $M axis instead of raw dollars</t>
        </is>
      </c>
    </row>
    <row r="23">
      <c r="A23" s="80" t="n">
        <v>13</v>
      </c>
      <c r="B23" s="80" t="inlineStr">
        <is>
          <t>Chart: P-curve</t>
        </is>
      </c>
      <c r="C23" s="80" t="inlineStr">
        <is>
          <t>Charts</t>
        </is>
      </c>
      <c r="D23" s="80" t="inlineStr">
        <is>
          <t>chart_pcurve</t>
        </is>
      </c>
      <c r="E23" s="80" t="inlineStr">
        <is>
          <t>add columnClustered</t>
        </is>
      </c>
      <c r="F23" s="80" t="inlineStr">
        <is>
          <t>src Charts!AA2:AB21; pos J4; legend off</t>
        </is>
      </c>
      <c r="G23" s="80" t="inlineStr">
        <is>
          <t>P5-P95 bar view for the deliverable</t>
        </is>
      </c>
    </row>
    <row r="24">
      <c r="A24" s="80" t="n">
        <v>14</v>
      </c>
      <c r="B24" s="80" t="inlineStr">
        <is>
          <t xml:space="preserve">   ... format</t>
        </is>
      </c>
      <c r="C24" s="80" t="inlineStr">
        <is>
          <t>Charts</t>
        </is>
      </c>
      <c r="D24" s="80" t="inlineStr">
        <is>
          <t>chart_pcurve</t>
        </is>
      </c>
      <c r="E24" s="80" t="inlineStr">
        <is>
          <t>format</t>
        </is>
      </c>
      <c r="F24" s="80" t="inlineStr">
        <is>
          <t>valAxis $#,##0,,"M"; series fill blue; axis titles</t>
        </is>
      </c>
      <c r="G24" s="80" t="inlineStr">
        <is>
          <t>House blue, $M axis</t>
        </is>
      </c>
    </row>
    <row r="25">
      <c r="A25" s="80" t="n">
        <v>15</v>
      </c>
      <c r="B25" s="80" t="inlineStr">
        <is>
          <t>Chart: correlation sensitivity</t>
        </is>
      </c>
      <c r="C25" s="80" t="inlineStr">
        <is>
          <t>Charts</t>
        </is>
      </c>
      <c r="D25" s="80" t="inlineStr">
        <is>
          <t>chart_corr_sensitivity</t>
        </is>
      </c>
      <c r="E25" s="80" t="inlineStr">
        <is>
          <t>add line</t>
        </is>
      </c>
      <c r="F25" s="80" t="inlineStr">
        <is>
          <t>src Charts!AD2:AG21; pos A23; legend bottom</t>
        </is>
      </c>
      <c r="G25" s="80" t="inlineStr">
        <is>
          <t>Elicited-rho result bracketed by rho=0 and rho=1</t>
        </is>
      </c>
    </row>
    <row r="26">
      <c r="A26" s="80" t="n">
        <v>16</v>
      </c>
      <c r="B26" s="80" t="inlineStr">
        <is>
          <t xml:space="preserve">   ... format</t>
        </is>
      </c>
      <c r="C26" s="80" t="inlineStr">
        <is>
          <t>Charts</t>
        </is>
      </c>
      <c r="D26" s="80" t="inlineStr">
        <is>
          <t>chart_corr_sensitivity</t>
        </is>
      </c>
      <c r="E26" s="80" t="inlineStr">
        <is>
          <t>format</t>
        </is>
      </c>
      <c r="F26" s="80" t="inlineStr">
        <is>
          <t>valAxis $#,##0,,"M"; s0 grey w1.75; s1 navy w2.75; s2 red</t>
        </is>
      </c>
      <c r="G26" s="80" t="inlineStr">
        <is>
          <t>Elicited case emphasised; bounds de-emphasised</t>
        </is>
      </c>
    </row>
    <row r="27">
      <c r="A27" s="80" t="n">
        <v>17</v>
      </c>
      <c r="B27" s="80" t="inlineStr">
        <is>
          <t>Chart: tornado</t>
        </is>
      </c>
      <c r="C27" s="80" t="inlineStr">
        <is>
          <t>Charts</t>
        </is>
      </c>
      <c r="D27" s="80" t="inlineStr">
        <is>
          <t>chart_tornado</t>
        </is>
      </c>
      <c r="E27" s="80" t="inlineStr">
        <is>
          <t>add barClustered</t>
        </is>
      </c>
      <c r="F27" s="80" t="inlineStr">
        <is>
          <t>src Charts!S2:T17; pos J23; legend off</t>
        </is>
      </c>
      <c r="G27" s="80" t="inlineStr">
        <is>
          <t>Top-15 cost EMV drivers</t>
        </is>
      </c>
    </row>
    <row r="28">
      <c r="A28" s="80" t="n">
        <v>18</v>
      </c>
      <c r="B28" s="80" t="inlineStr">
        <is>
          <t xml:space="preserve">   ... format</t>
        </is>
      </c>
      <c r="C28" s="80" t="inlineStr">
        <is>
          <t>Charts</t>
        </is>
      </c>
      <c r="D28" s="80" t="inlineStr">
        <is>
          <t>chart_tornado</t>
        </is>
      </c>
      <c r="E28" s="80" t="inlineStr">
        <is>
          <t>format</t>
        </is>
      </c>
      <c r="F28" s="80" t="inlineStr">
        <is>
          <t>valAxis $#,##0,"k"; reversed category axis; fill orange</t>
        </is>
      </c>
      <c r="G28" s="80" t="inlineStr">
        <is>
          <t>maxMin puts the largest risk at the TOP (tornado convention)</t>
        </is>
      </c>
    </row>
    <row r="29">
      <c r="A29" s="80" t="n">
        <v>19</v>
      </c>
      <c r="B29" s="80" t="inlineStr">
        <is>
          <t>Chart: EMV split</t>
        </is>
      </c>
      <c r="C29" s="80" t="inlineStr">
        <is>
          <t>Charts</t>
        </is>
      </c>
      <c r="D29" s="80" t="inlineStr">
        <is>
          <t>chart_emv_split</t>
        </is>
      </c>
      <c r="E29" s="80" t="inlineStr">
        <is>
          <t>add doughnut</t>
        </is>
      </c>
      <c r="F29" s="80" t="inlineStr">
        <is>
          <t>src 'EMV &amp; Mode Analysis'!A87:B89; pos A42</t>
        </is>
      </c>
      <c r="G29" s="80" t="inlineStr">
        <is>
          <t>Cost vs schedule share of Layer-1 EMV</t>
        </is>
      </c>
    </row>
    <row r="30">
      <c r="A30" s="80" t="n">
        <v>20</v>
      </c>
      <c r="B30" s="80" t="inlineStr">
        <is>
          <t xml:space="preserve">   ... format</t>
        </is>
      </c>
      <c r="C30" s="80" t="inlineStr">
        <is>
          <t>Charts</t>
        </is>
      </c>
      <c r="D30" s="80" t="inlineStr">
        <is>
          <t>chart_emv_split</t>
        </is>
      </c>
      <c r="E30" s="80" t="inlineStr">
        <is>
          <t>format</t>
        </is>
      </c>
      <c r="F30" s="80" t="inlineStr">
        <is>
          <t>dataLabels value off / percent on / category on; legend off</t>
        </is>
      </c>
      <c r="G30" s="80" t="inlineStr">
        <is>
          <t>Raw dollars unreadable on a label; percent + category is enough</t>
        </is>
      </c>
    </row>
    <row r="31">
      <c r="A31" s="80" t="n">
        <v>21</v>
      </c>
      <c r="B31" s="80" t="inlineStr">
        <is>
          <t>Group helper columns</t>
        </is>
      </c>
      <c r="C31" s="80" t="inlineStr">
        <is>
          <t>Charts</t>
        </is>
      </c>
      <c r="D31" s="80" t="inlineStr">
        <is>
          <t>R:AG</t>
        </is>
      </c>
      <c r="E31" s="80" t="inlineStr">
        <is>
          <t>group byColumns</t>
        </is>
      </c>
      <c r="F31" s="80" t="inlineStr">
        <is>
          <t>Collapsible outline, NOT hidden</t>
        </is>
      </c>
      <c r="G31" s="80" t="inlineStr">
        <is>
          <t>Helpers stay auditable but out of the way</t>
        </is>
      </c>
    </row>
    <row r="32">
      <c r="A32" s="80" t="n">
        <v>22</v>
      </c>
      <c r="B32" s="80" t="inlineStr">
        <is>
          <t>Create Build Log sheet</t>
        </is>
      </c>
      <c r="C32" s="80" t="inlineStr">
        <is>
          <t>Build Log</t>
        </is>
      </c>
      <c r="D32" s="80" t="inlineStr">
        <is>
          <t>(sheet)</t>
        </is>
      </c>
      <c r="E32" s="80" t="inlineStr">
        <is>
          <t>add / recreate</t>
        </is>
      </c>
      <c r="F32" s="80" t="inlineStr">
        <is>
          <t>position 2, tabColor grey. Rendered by _write_log() from this file.</t>
        </is>
      </c>
      <c r="G32" s="80" t="inlineStr">
        <is>
          <t>This tab - the spec itself</t>
        </is>
      </c>
    </row>
    <row r="33">
      <c r="A33" s="80" t="n">
        <v>23</v>
      </c>
      <c r="B33" s="80" t="inlineStr">
        <is>
          <t>Protect Build Log sheet</t>
        </is>
      </c>
      <c r="C33" s="80" t="inlineStr">
        <is>
          <t>Build Log</t>
        </is>
      </c>
      <c r="D33" s="80" t="inlineStr">
        <is>
          <t>(sheet)</t>
        </is>
      </c>
      <c r="E33" s="80" t="inlineStr">
        <is>
          <t>protect</t>
        </is>
      </c>
      <c r="F33" s="80" t="inlineStr">
        <is>
          <t xml:space="preserve">No password. Charts is deliberately LEFT UNPROTECTED. Applied by _write_log(), not by an op: the Build Log sheet does not exist during the step loop - it is created after it - so a protect_sheet op here raises KeyError on a fresh scaffold.
</t>
        </is>
      </c>
      <c r="G33" s="80" t="inlineStr">
        <is>
          <t>Protection kills the column-outline toggle on Charts!R:AG (EnableOutlining is VBA-only)</t>
        </is>
      </c>
    </row>
    <row r="34">
      <c r="A34" s="80" t="n">
        <v>24</v>
      </c>
      <c r="B34" s="80" t="inlineStr">
        <is>
          <t>Re-protect workbook structure</t>
        </is>
      </c>
      <c r="C34" s="80" t="inlineStr">
        <is>
          <t>(workbook)</t>
        </is>
      </c>
      <c r="D34" s="80" t="inlineStr">
        <is>
          <t>workbook.protection</t>
        </is>
      </c>
      <c r="E34" s="80" t="inlineStr">
        <is>
          <t>protect</t>
        </is>
      </c>
      <c r="F34" s="80" t="inlineStr">
        <is>
          <t>No password</t>
        </is>
      </c>
      <c r="G34" s="80" t="inlineStr">
        <is>
          <t>Restore the REG04 posture after the polish pass</t>
        </is>
      </c>
    </row>
    <row r="35">
      <c r="A35" s="80" t="n">
        <v>25</v>
      </c>
      <c r="B35" s="80" t="inlineStr">
        <is>
          <t>Re-run Validate Contract</t>
        </is>
      </c>
      <c r="C35" s="80" t="inlineStr">
        <is>
          <t>Simulation</t>
        </is>
      </c>
      <c r="D35" s="80" t="inlineStr">
        <is>
          <t>Out_validation</t>
        </is>
      </c>
      <c r="E35" s="80" t="inlineStr">
        <is>
          <t>manual / CI</t>
        </is>
      </c>
      <c r="F35" s="80" t="inlineStr">
        <is>
          <t>Confirm PASS after any structural change</t>
        </is>
      </c>
      <c r="G35" s="80" t="inlineStr">
        <is>
          <t>Structural edits can break named ranges</t>
        </is>
      </c>
    </row>
    <row r="36">
      <c r="A36" s="80" t="n">
        <v>26</v>
      </c>
      <c r="B36" s="80" t="inlineStr">
        <is>
          <t>House formatting spec</t>
        </is>
      </c>
      <c r="C36" s="80" t="inlineStr">
        <is>
          <t>(all)</t>
        </is>
      </c>
      <c r="D36" s="80" t="inlineStr">
        <is>
          <t>(convention)</t>
        </is>
      </c>
      <c r="E36" s="80" t="inlineStr">
        <is>
          <t>define</t>
        </is>
      </c>
      <c r="F36" s="80" t="inlineStr">
        <is>
          <t xml:space="preserve">Header rows bold white on navy, centred, wrapped, row height 28-34. Currency $#,##0;($#,##0);-. Percent 0.0%. Coefficients 0.00. Days #,##0.0. P-levels "P"0. Autofit then clamp. The concrete values live in formats: and palette: above.
</t>
        </is>
      </c>
      <c r="G36" s="80" t="inlineStr">
        <is>
          <t>One spec applied to every tab so the workbook reads as a single document</t>
        </is>
      </c>
    </row>
    <row r="37">
      <c r="A37" s="80" t="n">
        <v>27</v>
      </c>
      <c r="B37" s="80" t="inlineStr">
        <is>
          <t>PRESERVE existing colour convention</t>
        </is>
      </c>
      <c r="C37" s="80" t="inlineStr">
        <is>
          <t>(all)</t>
        </is>
      </c>
      <c r="D37" s="80" t="inlineStr">
        <is>
          <t>(convention)</t>
        </is>
      </c>
      <c r="E37" s="80" t="inlineStr">
        <is>
          <t>do not change</t>
        </is>
      </c>
      <c r="F37" s="80" t="inlineStr">
        <is>
          <t>Asserted by the driver's _guard(), not merely documented</t>
        </is>
      </c>
      <c r="G37" s="80" t="inlineStr">
        <is>
          <t>The TOC cell-type legend must stay true</t>
        </is>
      </c>
    </row>
    <row r="38">
      <c r="A38" s="80" t="n">
        <v>28</v>
      </c>
      <c r="B38" s="80" t="inlineStr">
        <is>
          <t>Risk Register - band headers</t>
        </is>
      </c>
      <c r="C38" s="80" t="inlineStr">
        <is>
          <t>Risk Register</t>
        </is>
      </c>
      <c r="D38" s="80" t="inlineStr">
        <is>
          <t>N3:S3 / T3:Y3 / Z3:AD3 / AE3</t>
        </is>
      </c>
      <c r="E38" s="80" t="inlineStr">
        <is>
          <t>format</t>
        </is>
      </c>
      <c r="F38" s="80" t="inlineStr">
        <is>
          <t>centerContinuous, NOT merged</t>
        </is>
      </c>
      <c r="G38" s="80" t="inlineStr">
        <is>
          <t>Groups 31 columns into 4 readable bands without merging cells</t>
        </is>
      </c>
    </row>
    <row r="39">
      <c r="A39" s="80" t="n">
        <v>29</v>
      </c>
      <c r="B39" s="80" t="inlineStr">
        <is>
          <t>Risk Register - column headers</t>
        </is>
      </c>
      <c r="C39" s="80" t="inlineStr">
        <is>
          <t>Risk Register</t>
        </is>
      </c>
      <c r="D39" s="80" t="inlineStr">
        <is>
          <t>A4:AE4</t>
        </is>
      </c>
      <c r="E39" s="80" t="inlineStr">
        <is>
          <t>format</t>
        </is>
      </c>
      <c r="F39" s="80" t="inlineStr">
        <is>
          <t>navy fill, white bold, centred, wrapped, row height 34</t>
        </is>
      </c>
      <c r="G39" s="80" t="inlineStr">
        <is>
          <t>Replaces the harsh saturated blue</t>
        </is>
      </c>
    </row>
    <row r="40">
      <c r="A40" s="80" t="n">
        <v>30</v>
      </c>
      <c r="B40" s="80" t="inlineStr">
        <is>
          <t>Risk Register - number formats</t>
        </is>
      </c>
      <c r="C40" s="80" t="inlineStr">
        <is>
          <t>Risk Register</t>
        </is>
      </c>
      <c r="D40" s="80" t="inlineStr">
        <is>
          <t>see op</t>
        </is>
      </c>
      <c r="E40" s="80" t="inlineStr">
        <is>
          <t>format</t>
        </is>
      </c>
      <c r="F40" s="80" t="inlineStr">
        <is>
          <t>money on cost cols, 0% on probabilities, days on durations</t>
        </is>
      </c>
      <c r="G40" s="80" t="inlineStr">
        <is>
          <t>Raw dollars and probabilities were unreadable</t>
        </is>
      </c>
    </row>
    <row r="41">
      <c r="A41" s="80" t="n">
        <v>31</v>
      </c>
      <c r="B41" s="80" t="inlineStr">
        <is>
          <t>Risk Register - widths</t>
        </is>
      </c>
      <c r="C41" s="80" t="inlineStr">
        <is>
          <t>Risk Register</t>
        </is>
      </c>
      <c r="D41" s="80" t="inlineStr">
        <is>
          <t>A:AE</t>
        </is>
      </c>
      <c r="E41" s="80" t="inlineStr">
        <is>
          <t>autofit + clamp</t>
        </is>
      </c>
      <c r="F41" s="80" t="inlineStr">
        <is>
          <t>Handled by autofit.sheets["Risk Register"] (max_w 33, ignore_rows 1-3)</t>
        </is>
      </c>
      <c r="G41" s="80" t="inlineStr">
        <is>
          <t>Descriptions and controls were truncated</t>
        </is>
      </c>
    </row>
    <row r="42">
      <c r="A42" s="80" t="n">
        <v>32</v>
      </c>
      <c r="B42" s="80" t="inlineStr">
        <is>
          <t>Simulation - headers + freeze</t>
        </is>
      </c>
      <c r="C42" s="80" t="inlineStr">
        <is>
          <t>Simulation</t>
        </is>
      </c>
      <c r="D42" s="80" t="inlineStr">
        <is>
          <t>A1:B1, D1:E1, G1, I1:L1, N1</t>
        </is>
      </c>
      <c r="E42" s="80" t="inlineStr">
        <is>
          <t>format</t>
        </is>
      </c>
      <c r="F42" s="80" t="inlineStr">
        <is>
          <t>navy header fill, row height 30, freeze row 1</t>
        </is>
      </c>
      <c r="G42" s="80" t="inlineStr">
        <is>
          <t>Header row was plain and scrolled away</t>
        </is>
      </c>
    </row>
    <row r="43">
      <c r="A43" s="80" t="n">
        <v>33</v>
      </c>
      <c r="B43" s="80" t="inlineStr">
        <is>
          <t>Simulation - number formats</t>
        </is>
      </c>
      <c r="C43" s="80" t="inlineStr">
        <is>
          <t>Simulation</t>
        </is>
      </c>
      <c r="D43" s="80" t="inlineStr">
        <is>
          <t>see op</t>
        </is>
      </c>
      <c r="E43" s="80" t="inlineStr">
        <is>
          <t>format</t>
        </is>
      </c>
      <c r="F43" s="80" t="inlineStr">
        <is>
          <t>costs money, cum prob 0%, P-levels render as P5..P95</t>
        </is>
      </c>
      <c r="G43" s="80" t="inlineStr">
        <is>
          <t>Raw floats were unreadable</t>
        </is>
      </c>
    </row>
    <row r="44">
      <c r="A44" s="80" t="n">
        <v>34</v>
      </c>
      <c r="B44" s="80" t="inlineStr">
        <is>
          <t>Simulation - H4 units contract</t>
        </is>
      </c>
      <c r="C44" s="80" t="inlineStr">
        <is>
          <t>Simulation</t>
        </is>
      </c>
      <c r="D44" s="80" t="inlineStr">
        <is>
          <t>H4</t>
        </is>
      </c>
      <c r="E44" s="80" t="inlineStr">
        <is>
          <t>format</t>
        </is>
      </c>
      <c r="F44" s="80" t="inlineStr">
        <is>
          <t xml:space="preserve">Applied 0.000"%". VERIFIED against the engine 2026-07-30 - no longer an inference. src/tier1_headless.py:185 computes p80_ci95_half_width_pct as (100.0 * half / ci["point"]), so the stored value is PERCENT-AS-NUMBER; it reaches the sheet via Out_conv_pct (src/tier1_xlwings_shell.py:191, dist/qra_xlwings_combined.py:234). Cross-check on the golden: 100 * 71785.93 / 60384268.05 = 0.118882 -&gt; stored 0.1189. If the 100.0 factor is ever dropped this must become 0.000% - tests/test_polish.py::test_h4_units_contract locks it.
</t>
        </is>
      </c>
      <c r="G44" s="80" t="inlineStr">
        <is>
          <t xml:space="preserve">Claude-in-Excel cannot read the engine source from inside Excel and had to infer the units. The inference was correct, but a wrong guess here displays the figure 100x out, so the contract is now asserted rather than documented.
</t>
        </is>
      </c>
    </row>
    <row r="45">
      <c r="A45" s="80" t="n">
        <v>35</v>
      </c>
      <c r="B45" s="80" t="inlineStr">
        <is>
          <t>MC_Params</t>
        </is>
      </c>
      <c r="C45" s="80" t="inlineStr">
        <is>
          <t>MC_Params</t>
        </is>
      </c>
      <c r="D45" s="80" t="inlineStr">
        <is>
          <t>B1 title; C column</t>
        </is>
      </c>
      <c r="E45" s="80" t="inlineStr">
        <is>
          <t>format</t>
        </is>
      </c>
      <c r="F45" s="80" t="inlineStr">
        <is>
          <t>capex bases + day_rate money; CG coefficients 0.00; iterations</t>
        </is>
      </c>
      <c r="G45" s="80" t="inlineStr">
        <is>
          <t>Labels were truncated; capex bases unreadable</t>
        </is>
      </c>
    </row>
    <row r="46">
      <c r="A46" s="80" t="n">
        <v>36</v>
      </c>
      <c r="B46" s="80" t="inlineStr">
        <is>
          <t>Layer1_Base</t>
        </is>
      </c>
      <c r="C46" s="80" t="inlineStr">
        <is>
          <t>Layer1_Base</t>
        </is>
      </c>
      <c r="D46" s="80" t="inlineStr">
        <is>
          <t>A1:I1 header; B2:I9 values</t>
        </is>
      </c>
      <c r="E46" s="80" t="inlineStr">
        <is>
          <t>format</t>
        </is>
      </c>
      <c r="F46" s="80" t="inlineStr">
        <is>
          <t>values are $M so 1 decimal, not currency</t>
        </is>
      </c>
      <c r="G46" s="80" t="inlineStr">
        <is>
          <t>Declared totals read in millions</t>
        </is>
      </c>
    </row>
    <row r="47">
      <c r="A47" s="80" t="n">
        <v>37</v>
      </c>
      <c r="B47" s="80" t="inlineStr">
        <is>
          <t>Layer1_Factors</t>
        </is>
      </c>
      <c r="C47" s="80" t="inlineStr">
        <is>
          <t>Layer1_Factors</t>
        </is>
      </c>
      <c r="D47" s="80" t="inlineStr">
        <is>
          <t>A1:F1 header; C2:E15 percentages</t>
        </is>
      </c>
      <c r="E47" s="80" t="inlineStr">
        <is>
          <t>format</t>
        </is>
      </c>
      <c r="F47" s="80" t="inlineStr">
        <is>
          <t>P10/ML/P90 are fractional deltas - percent is the correct read</t>
        </is>
      </c>
      <c r="G47" s="80" t="inlineStr">
        <is>
          <t>-0.5 renders as (50.0%)</t>
        </is>
      </c>
    </row>
    <row r="48">
      <c r="A48" s="80" t="n">
        <v>38</v>
      </c>
      <c r="B48" s="80" t="inlineStr">
        <is>
          <t>Layer1_Allocation</t>
        </is>
      </c>
      <c r="C48" s="80" t="inlineStr">
        <is>
          <t>Layer1_Allocation</t>
        </is>
      </c>
      <c r="D48" s="80" t="inlineStr">
        <is>
          <t>A1:I1 header; B2:I15 centred</t>
        </is>
      </c>
      <c r="E48" s="80" t="inlineStr">
        <is>
          <t>format</t>
        </is>
      </c>
      <c r="F48" s="80" t="inlineStr">
        <is>
          <t>header row height 34</t>
        </is>
      </c>
      <c r="G48" s="80" t="inlineStr">
        <is>
          <t>x-marks centre under their factor column</t>
        </is>
      </c>
    </row>
    <row r="49">
      <c r="A49" s="80" t="n">
        <v>39</v>
      </c>
      <c r="B49" s="80" t="inlineStr">
        <is>
          <t>Layer1_Correlation</t>
        </is>
      </c>
      <c r="C49" s="80" t="inlineStr">
        <is>
          <t>Layer1_Correlation</t>
        </is>
      </c>
      <c r="D49" s="80" t="inlineStr">
        <is>
          <t>A4:H4 header; B5:H11 matrix</t>
        </is>
      </c>
      <c r="E49" s="80" t="inlineStr">
        <is>
          <t>format</t>
        </is>
      </c>
      <c r="F49" s="80" t="inlineStr">
        <is>
          <t>Existing colour-scale conditional format LEFT INTACT - do NOT re-apply</t>
        </is>
      </c>
      <c r="G49" s="80" t="inlineStr">
        <is>
          <t>The scaffold already sets the colour scale</t>
        </is>
      </c>
    </row>
    <row r="50">
      <c r="A50" s="80" t="n">
        <v>40</v>
      </c>
      <c r="B50" s="80" t="inlineStr">
        <is>
          <t>EMV &amp; Mode Analysis</t>
        </is>
      </c>
      <c r="C50" s="80" t="inlineStr">
        <is>
          <t>EMV &amp; Mode Analysis</t>
        </is>
      </c>
      <c r="D50" s="80" t="inlineStr">
        <is>
          <t>A1 title; three table headers; money columns</t>
        </is>
      </c>
      <c r="E50" s="80" t="inlineStr">
        <is>
          <t>format</t>
        </is>
      </c>
      <c r="F50" s="80" t="inlineStr">
        <is>
          <t>B7 bold as the Layer-1 total</t>
        </is>
      </c>
      <c r="G50" s="80" t="inlineStr">
        <is>
          <t>Three stacked tables now visually separated</t>
        </is>
      </c>
    </row>
    <row r="51">
      <c r="A51" s="80" t="n">
        <v>41</v>
      </c>
      <c r="B51" s="80" t="inlineStr">
        <is>
          <t>Methodology</t>
        </is>
      </c>
      <c r="C51" s="80" t="inlineStr">
        <is>
          <t>Methodology</t>
        </is>
      </c>
      <c r="D51" s="80" t="inlineStr">
        <is>
          <t>A1:C1 header</t>
        </is>
      </c>
      <c r="E51" s="80" t="inlineStr">
        <is>
          <t>format</t>
        </is>
      </c>
      <c r="F51" s="80" t="inlineStr">
        <is>
          <t>light touch - the tab was already readable</t>
        </is>
      </c>
      <c r="G51" s="80" t="inlineStr">
        <is>
          <t>Consistency with the house spec</t>
        </is>
      </c>
    </row>
    <row r="52">
      <c r="A52" s="80" t="n">
        <v>42</v>
      </c>
      <c r="B52" s="80" t="inlineStr">
        <is>
          <t>Settings / Mapping / Lists</t>
        </is>
      </c>
      <c r="C52" s="80" t="inlineStr">
        <is>
          <t>Settings, Mapping, Lists</t>
        </is>
      </c>
      <c r="D52" s="80" t="inlineStr">
        <is>
          <t>see op</t>
        </is>
      </c>
      <c r="E52" s="80" t="inlineStr">
        <is>
          <t>format</t>
        </is>
      </c>
      <c r="F52" s="80" t="inlineStr">
        <is>
          <t xml:space="preserve">CAUTION: on Lists the column headers are in ROW 2 - row 1 is the "Cascade lists" note. Banding row 1 is wrong, and autofit on row 1 blows column A out to the width of that sentence.
</t>
        </is>
      </c>
      <c r="G52" s="80" t="inlineStr">
        <is>
          <t>Small config tabs brought onto the house spec</t>
        </is>
      </c>
    </row>
    <row r="53">
      <c r="A53" s="80" t="n">
        <v>43</v>
      </c>
      <c r="B53" s="80" t="inlineStr">
        <is>
          <t>TOC &amp; Instructions</t>
        </is>
      </c>
      <c r="C53" s="80" t="inlineStr">
        <is>
          <t>TOC &amp; Instructions</t>
        </is>
      </c>
      <c r="D53" s="80" t="inlineStr">
        <is>
          <t>A1 title; section bands</t>
        </is>
      </c>
      <c r="E53" s="80" t="inlineStr">
        <is>
          <t>format</t>
        </is>
      </c>
      <c r="F53" s="80" t="inlineStr">
        <is>
          <t xml:space="preserve">Bands MUST span A:B - a band on column A alone clips at the column edge. Row 22 is NOT a section band: it is the Handoff Prompt row of the tab inventory, highlighted pale green as the START HERE marker. Navy-banding it (as the original list did) whites out its text and loses the marker.
</t>
        </is>
      </c>
      <c r="G53" s="80" t="inlineStr">
        <is>
          <t>Section headers were truncated mid-word</t>
        </is>
      </c>
    </row>
    <row r="54">
      <c r="A54" s="80" t="n">
        <v>44</v>
      </c>
      <c r="B54" s="80" t="inlineStr">
        <is>
          <t>Autofit caveat for the module</t>
        </is>
      </c>
      <c r="C54" s="80" t="inlineStr">
        <is>
          <t>(all)</t>
        </is>
      </c>
      <c r="D54" s="80" t="inlineStr">
        <is>
          <t>(implementation note)</t>
        </is>
      </c>
      <c r="E54" s="80" t="inlineStr">
        <is>
          <t>note</t>
        </is>
      </c>
      <c r="F54" s="80" t="inlineStr">
        <is>
          <t xml:space="preserve">openpyxl has NO autofit. Widths are set explicitly via ws.column_dimensions[L].width (Excel char units, approx points / 7). Do not try to reproduce autofitColumns.
</t>
        </is>
      </c>
      <c r="G54" s="80" t="inlineStr">
        <is>
          <t>The single biggest gotcha when porting this to the repo</t>
        </is>
      </c>
    </row>
    <row r="55">
      <c r="A55" s="80" t="n">
        <v>45</v>
      </c>
      <c r="B55" s="80" t="inlineStr">
        <is>
          <t>Unprotect / re-protect per sheet</t>
        </is>
      </c>
      <c r="C55" s="80" t="inlineStr">
        <is>
          <t>(all machine tabs)</t>
        </is>
      </c>
      <c r="D55" s="80" t="inlineStr">
        <is>
          <t>sheet.protection</t>
        </is>
      </c>
      <c r="E55" s="80" t="inlineStr">
        <is>
          <t>unprotect -&gt; format -&gt; protect</t>
        </is>
      </c>
      <c r="F55" s="80" t="inlineStr">
        <is>
          <t xml:space="preserve">openpyxl sets protection at write time, so this is a no-op here. It is mandatory in the Office.js path, where every formatting step needs REG04 released first.
</t>
        </is>
      </c>
      <c r="G55" s="80" t="inlineStr">
        <is>
          <t>Records the sequence the Excel-side path must follow</t>
        </is>
      </c>
    </row>
    <row r="56">
      <c r="A56" s="80" t="n">
        <v>46</v>
      </c>
      <c r="B56" s="80" t="inlineStr">
        <is>
          <t>Migrate spec to YAML</t>
        </is>
      </c>
      <c r="C56" s="80" t="inlineStr">
        <is>
          <t>Build Log</t>
        </is>
      </c>
      <c r="D56" s="80" t="inlineStr">
        <is>
          <t>config/polish_spec.yaml</t>
        </is>
      </c>
      <c r="E56" s="80" t="inlineStr">
        <is>
          <t>refactor</t>
        </is>
      </c>
      <c r="F56" s="80" t="inlineStr">
        <is>
          <t xml:space="preserve">Steps 1-45 moved into this file. tools/register_polish.py reads it, EXECUTES the op: payload and RENDERS the human columns to the Build Log tab. One record, two consumers.
</t>
        </is>
      </c>
      <c r="G56" s="80" t="inlineStr">
        <is>
          <t>Removes drift - the Lists header-row error existed because the tab was hand-maintained</t>
        </is>
      </c>
    </row>
    <row r="57">
      <c r="A57" s="80" t="n">
        <v>47</v>
      </c>
      <c r="B57" s="80" t="inlineStr">
        <is>
          <t>Autofit emulator</t>
        </is>
      </c>
      <c r="C57" s="80" t="inlineStr">
        <is>
          <t>(all)</t>
        </is>
      </c>
      <c r="D57" s="80" t="inlineStr">
        <is>
          <t>autofit() in tools/register_polish.py</t>
        </is>
      </c>
      <c r="E57" s="80" t="inlineStr">
        <is>
          <t>implement</t>
        </is>
      </c>
      <c r="F57" s="80" t="inlineStr">
        <is>
          <t xml:space="preserve">openpyxl cannot measure rendered text, so autofit() approximates from character count and clamps to min_w/max_w. ignore_rows excludes note rows that sit inside a data column - without it Layer1_Base!B12, Lists!A1 and Layer1_Correlation!C1 each stretch their column to the width of a sentence. Proportional fonts mean the estimate runs ~10% out; prose columns stay in widths: instead.
</t>
        </is>
      </c>
      <c r="G57" s="80" t="inlineStr">
        <is>
          <t>Removes the hand-maintained width table for everything except prose</t>
        </is>
      </c>
    </row>
    <row r="58">
      <c r="A58" s="80" t="n">
        <v>48</v>
      </c>
      <c r="B58" s="80" t="inlineStr">
        <is>
          <t>Charts helper column widths</t>
        </is>
      </c>
      <c r="C58" s="80" t="inlineStr">
        <is>
          <t>Charts</t>
        </is>
      </c>
      <c r="D58" s="80" t="inlineStr">
        <is>
          <t>R:AG</t>
        </is>
      </c>
      <c r="E58" s="80" t="inlineStr">
        <is>
          <t>format</t>
        </is>
      </c>
      <c r="F58" s="80" t="inlineStr">
        <is>
          <t>Set explicitly (see widths.Charts); spacer columns U, W, Z, AC at 3</t>
        </is>
      </c>
      <c r="G58" s="80" t="inlineStr">
        <is>
          <t>The block is behind a collapsed outline but should look deliberate when expanded</t>
        </is>
      </c>
    </row>
    <row r="59">
      <c r="A59" s="80" t="n">
        <v>49</v>
      </c>
      <c r="B59" s="80" t="inlineStr">
        <is>
          <t>Reference (polish) tab</t>
        </is>
      </c>
      <c r="C59" s="80" t="inlineStr">
        <is>
          <t>Reference (polish)</t>
        </is>
      </c>
      <c r="D59" s="80" t="inlineStr">
        <is>
          <t>(sheet)</t>
        </is>
      </c>
      <c r="E59" s="80" t="inlineStr">
        <is>
          <t>add / recreate</t>
        </is>
      </c>
      <c r="F59" s="80" t="inlineStr">
        <is>
          <t xml:space="preserve">Rendered by render_reference() from the SOURCE FILES ON DISK, mirroring the Reference (xlwings) paste-once convention. Consolas 9pt, col A 780pt, frozen header.
</t>
        </is>
      </c>
      <c r="G59" s="80" t="inlineStr">
        <is>
          <t>The code no longer lives only in a chat transcript</t>
        </is>
      </c>
    </row>
    <row r="60">
      <c r="A60" s="80" t="n">
        <v>50</v>
      </c>
      <c r="B60" s="80" t="inlineStr">
        <is>
          <t>Polish Inbox + merge step</t>
        </is>
      </c>
      <c r="C60" s="80" t="inlineStr">
        <is>
          <t>Polish Inbox</t>
        </is>
      </c>
      <c r="D60" s="80" t="inlineStr">
        <is>
          <t>(sheet) + merge_inbox()</t>
        </is>
      </c>
      <c r="E60" s="80" t="inlineStr">
        <is>
          <t>add</t>
        </is>
      </c>
      <c r="F60" s="80" t="inlineStr">
        <is>
          <t xml:space="preserve">One-way queue. status=pending rows are folded into this file by merge_inbox(), which runs BEFORE Polisher so an amendment applies on the same build. CREATE IF MISSING only - the tab carries state (status / merged_in).
</t>
        </is>
      </c>
      <c r="G60" s="80" t="inlineStr">
        <is>
          <t>Canonical = repo YAML; Reference (polish) = rendered output; Polish Inbox = queue</t>
        </is>
      </c>
    </row>
    <row r="61">
      <c r="A61" s="80" t="n">
        <v>51</v>
      </c>
      <c r="B61" s="80" t="inlineStr">
        <is>
          <t>Handoff Prompt tab</t>
        </is>
      </c>
      <c r="C61" s="80" t="inlineStr">
        <is>
          <t>Handoff Prompt</t>
        </is>
      </c>
      <c r="D61" s="80" t="inlineStr">
        <is>
          <t>(sheet)</t>
        </is>
      </c>
      <c r="E61" s="80" t="inlineStr">
        <is>
          <t>add</t>
        </is>
      </c>
      <c r="F61" s="80" t="inlineStr">
        <is>
          <t>Rendered by render_handoff() from docs/polish_handoff.md</t>
        </is>
      </c>
      <c r="G61" s="80" t="inlineStr">
        <is>
          <t>Reduces the handoff to a single prompt; nothing has to be copied out of a transcript</t>
        </is>
      </c>
    </row>
    <row r="62">
      <c r="A62" s="80" t="n">
        <v>52</v>
      </c>
      <c r="B62" s="80" t="inlineStr">
        <is>
          <t>Meta tabs self-regenerating</t>
        </is>
      </c>
      <c r="C62" s="80" t="inlineStr">
        <is>
          <t>(all meta tabs)</t>
        </is>
      </c>
      <c r="D62" s="80" t="inlineStr">
        <is>
          <t>render_reference / render_handoff / ensure_inbox</t>
        </is>
      </c>
      <c r="E62" s="80" t="inlineStr">
        <is>
          <t>add</t>
        </is>
      </c>
      <c r="F62" s="80" t="inlineStr">
        <is>
          <t>Wired into the tail of Polisher.run()</t>
        </is>
      </c>
      <c r="G62" s="80" t="inlineStr">
        <is>
          <t>Without it a clean checkout returns WITHOUT the handoff apparatus and the loop dies</t>
        </is>
      </c>
    </row>
    <row r="63">
      <c r="A63" s="80" t="n">
        <v>53</v>
      </c>
      <c r="B63" s="80" t="inlineStr">
        <is>
          <t>Repo-root path anchoring + runtime notes</t>
        </is>
      </c>
      <c r="C63" s="80" t="inlineStr">
        <is>
          <t>(module)</t>
        </is>
      </c>
      <c r="D63" s="80" t="inlineStr">
        <is>
          <t>ROOT / SPEC / SRC_ROOT / HANDOFF_MD / DEFAULT_WORKBOOK</t>
        </is>
      </c>
      <c r="E63" s="80" t="inlineStr">
        <is>
          <t>fix</t>
        </is>
      </c>
      <c r="F63" s="80" t="inlineStr">
        <is>
          <t xml:space="preserve">ROOT = Path(__file__).resolve().parents[1]; every path derives from it, so the module runs from any cwd. openpyxl writes formulas with NO cached value, so the charts look empty until Excel recalculates - and a golden test using data_only=True would compare None to None and pass vacuously.
</t>
        </is>
      </c>
      <c r="G63" s="80" t="inlineStr">
        <is>
          <t>Headless build on Windows / macOS / Linux / CI with no Excel</t>
        </is>
      </c>
    </row>
    <row r="64">
      <c r="A64" s="80" t="n">
        <v>54</v>
      </c>
      <c r="B64" s="80" t="inlineStr">
        <is>
          <t>Dashboard tab (PM)</t>
        </is>
      </c>
      <c r="C64" s="80" t="inlineStr">
        <is>
          <t>Dashboard</t>
        </is>
      </c>
      <c r="D64" s="80" t="inlineStr">
        <is>
          <t>(sheet) + 2 charts</t>
        </is>
      </c>
      <c r="E64" s="80" t="inlineStr">
        <is>
          <t>add</t>
        </is>
      </c>
      <c r="F64" s="80" t="inlineStr">
        <is>
          <t xml:space="preserve">NOT YET REPRODUCIBLE. Built by hand in Excel; no op: payload exists and the Build Log description is not complete enough to author one (exact cell text, conditional format rules and chart anchors are unrecorded). A regenerated register comes back WITHOUT this tab. Recorded shape: headline band B7:I9 driven off MC_Params!C5 so the reporting P-level is never hardcoded (Base=MC_Params!C6, P50/PXX via INDEX+MATCH on Simulation!A2:B20, contingency = PXX-Base); plain-English readout B11; status tiles B14:I14 with green/amber conditional formats; charts dash_scurve (Charts!X2:Y103, y 0-1, x 40M-75M) and dash_drivers (Charts!S2:T7, reversePlotOrder).
</t>
        </is>
      </c>
      <c r="G64" s="80" t="inlineStr">
        <is>
          <t>PM needs one number and a reason to trust it</t>
        </is>
      </c>
    </row>
    <row r="65">
      <c r="A65" s="80" t="n">
        <v>55</v>
      </c>
      <c r="B65" s="80" t="inlineStr">
        <is>
          <t>Diagnostics tab (analyst)</t>
        </is>
      </c>
      <c r="C65" s="80" t="inlineStr">
        <is>
          <t>Diagnostics</t>
        </is>
      </c>
      <c r="D65" s="80" t="inlineStr">
        <is>
          <t>(sheet) + 2 charts</t>
        </is>
      </c>
      <c r="E65" s="80" t="inlineStr">
        <is>
          <t>add</t>
        </is>
      </c>
      <c r="F65" s="80" t="inlineStr">
        <is>
          <t xml:space="preserve">NOT YET REPRODUCIBLE - same gap as step 54. Recorded shape: run config from Settings + MC_Params; convergence verdict comparing Simulation!H4 to an analyst-set threshold in C18; correlation spread = rho=1 less rho=0 at the reporting P-level; distribution stats and skew indicator; charts diag_corr and diag_pcurve, both with a value-axis floor at 45M.
</t>
        </is>
      </c>
      <c r="G65" s="80" t="inlineStr">
        <is>
          <t>Separates "is this run trustworthy" from "what is the number"</t>
        </is>
      </c>
    </row>
    <row r="66">
      <c r="A66" s="80" t="n">
        <v>56</v>
      </c>
      <c r="B66" s="80" t="inlineStr">
        <is>
          <t>Tab order</t>
        </is>
      </c>
      <c r="C66" s="80" t="inlineStr">
        <is>
          <t>(workbook)</t>
        </is>
      </c>
      <c r="D66" s="80" t="inlineStr">
        <is>
          <t>sheet.position</t>
        </is>
      </c>
      <c r="E66" s="80" t="inlineStr">
        <is>
          <t>reorder</t>
        </is>
      </c>
      <c r="F66" s="80" t="inlineStr">
        <is>
          <t xml:space="preserve">User-facing content first, build machinery at the far right. Sheets absent from the list keep their relative order and follow the named ones. Meta tabs left VISIBLE by choice - veryHidden is not protection and a hidden tab still ships.
</t>
        </is>
      </c>
      <c r="G66" s="80" t="inlineStr">
        <is>
          <t>Charts and Build Log are inserted at fixed indices and would otherwise drift</t>
        </is>
      </c>
    </row>
    <row r="67">
      <c r="A67" s="80" t="n">
        <v>57</v>
      </c>
      <c r="B67" s="80" t="inlineStr">
        <is>
          <t>SCAFFOLD FIX - Mapping is an input tab</t>
        </is>
      </c>
      <c r="C67" s="80" t="inlineStr">
        <is>
          <t>Mapping</t>
        </is>
      </c>
      <c r="D67" s="80" t="inlineStr">
        <is>
          <t>A2:E11</t>
        </is>
      </c>
      <c r="E67" s="80" t="inlineStr">
        <is>
          <t>unlock + blue font</t>
        </is>
      </c>
      <c r="F67" s="80" t="inlineStr">
        <is>
          <t xml:space="preserve">SCAFFOLD CHANGE - belongs in tools/register_scaffold.py, NOT here. Font colour and lock state carry scaffold semantics and Polisher._guard() forbids the polish layer from touching them. Required: font #0000CC, protection locked = False. It was black + locked + static, which under the TOC legend reads as "live formula, do not overwrite", and sheet protection made the user's own P6 binding data uneditable.
</t>
        </is>
      </c>
      <c r="G67" s="80" t="inlineStr">
        <is>
          <t>Recorded here so the Build Log stays a complete audit trail; applied elsewhere</t>
        </is>
      </c>
    </row>
    <row r="68">
      <c r="A68" s="80" t="n">
        <v>58</v>
      </c>
      <c r="B68" s="80" t="inlineStr">
        <is>
          <t>MC_Params is NOT legacy - do not delete</t>
        </is>
      </c>
      <c r="C68" s="80" t="inlineStr">
        <is>
          <t>TOC &amp; Instructions</t>
        </is>
      </c>
      <c r="D68" s="80" t="inlineStr">
        <is>
          <t>B8</t>
        </is>
      </c>
      <c r="E68" s="80" t="inlineStr">
        <is>
          <t>correct description</t>
        </is>
      </c>
      <c r="F68" s="80" t="inlineStr">
        <is>
          <t xml:space="preserve">SCAFFOLD CHANGE - belongs in tools/register_scaffold.py. The description must NOT say "legacy VBA config surface". MC_Params is the live MODEL-parameter surface: TIC (C6), reporting P-level (C5), cascade params (C7:C14), CG coefficients and capex bases (C20:C31); named range MC_day_rate = MC_Params!$C$15 is part of the 38-range contract; Dashboard has 6 refs and Diagnostics 2. Settings is the live RUN-config surface. Deleting MC_Params fails Validate Contract.
</t>
        </is>
      </c>
      <c r="G68" s="80" t="inlineStr">
        <is>
          <t>The old description made deletion look safe and would have broken the contract</t>
        </is>
      </c>
    </row>
    <row r="69">
      <c r="A69" s="80" t="n">
        <v>59</v>
      </c>
      <c r="B69" s="80" t="inlineStr">
        <is>
          <t>Convention audit</t>
        </is>
      </c>
      <c r="C69" s="80" t="inlineStr">
        <is>
          <t>(all)</t>
        </is>
      </c>
      <c r="D69" s="80" t="inlineStr">
        <is>
          <t>font colour x lock state</t>
        </is>
      </c>
      <c r="E69" s="80" t="inlineStr">
        <is>
          <t>audit</t>
        </is>
      </c>
      <c r="F69" s="80" t="inlineStr">
        <is>
          <t xml:space="preserve">UNIFORM-RANGE ONLY. Layer1_* 247 cells blue+unlocked (correct inputs); Mapping 50 and MC_Params 30 were black+locked+static. Risk Register, Lists, Settings and Methodology have mixed font/lock states and could NOT be classified by the uniform-range method - they remain UNAUDITED. A per-cell audit is still owed.
</t>
        </is>
      </c>
      <c r="G69" s="80" t="inlineStr">
        <is>
          <t>Documents both the finding and the limit of the check - not a clean bill of health</t>
        </is>
      </c>
    </row>
    <row r="70">
      <c r="A70" s="80" t="n">
        <v>61</v>
      </c>
      <c r="B70" s="80" t="inlineStr">
        <is>
          <t>TOC tab inventory + cell-type legend</t>
        </is>
      </c>
      <c r="C70" s="80" t="inlineStr">
        <is>
          <t>TOC &amp; Instructions</t>
        </is>
      </c>
      <c r="D70" s="80" t="inlineStr">
        <is>
          <t>the "Tabs, in the order you fill them (auto-generated from the sheet inventory)" block</t>
        </is>
      </c>
      <c r="E70" s="80" t="inlineStr">
        <is>
          <t>add / recreate</t>
        </is>
      </c>
      <c r="F70" s="80" t="inlineStr">
        <is>
          <t xml:space="preserve">IMPLEMENTED 2026-07-30. Rebuilds the inventory from the ACTUAL sheet list and restores the cell-type legend beneath it. Fixes real data loss: when the generated tabs were added to the inventory by hand the rows were OVERWRITTEN rather than inserted, destroying "Cell-type legend" and the "input" and "calc" entries - so the legend that rule 2 depends on no longer explained blue or black font. That edit is the only change in this workbook's history with no Build Log entry, which is exactly why it went unnoticed. Existing descriptions are preserved; descriptions: only supplies text for tabs that have none. Rows are inserted or deleted to fit, so Set_ProjectName..Set_IssueDate move - the op re-points every TOC-scoped defined name and refuses to complete unless each still resolves to its original value.
</t>
        </is>
      </c>
      <c r="G70" s="80" t="inlineStr">
        <is>
          <t xml:space="preserve">The TOC is the reader's entry point and the home of the cell-type legend. Hand-editing it is what broke it; regenerating from the sheet list is the only fix that does not repeat the mistake.
</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8.xml><?xml version="1.0" encoding="utf-8"?>
<worksheet xmlns="http://schemas.openxmlformats.org/spreadsheetml/2006/main">
  <sheetPr>
    <tabColor rgb="00C55A11"/>
    <outlinePr summaryBelow="1" summaryRight="1"/>
    <pageSetUpPr/>
  </sheetPr>
  <dimension ref="A1:H12"/>
  <sheetViews>
    <sheetView showGridLines="0" workbookViewId="0">
      <pane ySplit="11" topLeftCell="A12" activePane="bottomLeft" state="frozen"/>
      <selection pane="bottomLeft" activeCell="A1" sqref="A1"/>
    </sheetView>
  </sheetViews>
  <sheetFormatPr baseColWidth="8" defaultRowHeight="15"/>
  <cols>
    <col width="9" customWidth="1" min="1" max="1"/>
    <col width="11" customWidth="1" min="2" max="2"/>
    <col width="14" customWidth="1" min="3" max="3"/>
    <col width="14" customWidth="1" min="4" max="4"/>
    <col width="43" customWidth="1" min="5" max="5"/>
    <col width="49" customWidth="1" min="6" max="6"/>
    <col width="11" customWidth="1" min="7" max="7"/>
    <col width="11" customWidth="1" min="8" max="8"/>
  </cols>
  <sheetData>
    <row r="1">
      <c r="A1" s="81" t="inlineStr">
        <is>
          <t>Polish Inbox - pending presentation-layer amendments</t>
        </is>
      </c>
    </row>
    <row r="2">
      <c r="A2" s="82" t="inlineStr">
        <is>
          <t>ONE-WAY QUEUE. Append changes here; register_polish.py merges them into config/polish_spec.yaml. Never edit the rendered spec on Reference (polish), and never hand-format cells instead of raising a row here.</t>
        </is>
      </c>
    </row>
    <row r="11" ht="30" customHeight="1">
      <c r="A11" s="83" t="inlineStr">
        <is>
          <t>ID</t>
        </is>
      </c>
      <c r="B11" s="83" t="inlineStr">
        <is>
          <t>Raised</t>
        </is>
      </c>
      <c r="C11" s="83" t="inlineStr">
        <is>
          <t>Author</t>
        </is>
      </c>
      <c r="D11" s="83" t="inlineStr">
        <is>
          <t>Target sheet</t>
        </is>
      </c>
      <c r="E11" s="83" t="inlineStr">
        <is>
          <t>Change (human-readable)</t>
        </is>
      </c>
      <c r="F11" s="83" t="inlineStr">
        <is>
          <t>op: payload (YAML, 2-space indent)</t>
        </is>
      </c>
      <c r="G11" s="83" t="inlineStr">
        <is>
          <t>Status</t>
        </is>
      </c>
      <c r="H11" s="83" t="inlineStr">
        <is>
          <t>Merged in</t>
        </is>
      </c>
    </row>
    <row r="12">
      <c r="A12" s="84" t="inlineStr">
        <is>
          <t>INB-001</t>
        </is>
      </c>
      <c r="B12" s="84" t="inlineStr">
        <is>
          <t>2026-09-08</t>
        </is>
      </c>
      <c r="C12" s="84" t="inlineStr">
        <is>
          <t>Claude (Excel)</t>
        </is>
      </c>
      <c r="D12" s="84" t="inlineStr">
        <is>
          <t>Charts</t>
        </is>
      </c>
      <c r="E12" s="84" t="inlineStr">
        <is>
          <t>EXAMPLE ROW - shows the required shape. Set Status to pending to activate, or leave as example to keep it inert.</t>
        </is>
      </c>
      <c r="F12" s="84" t="inlineStr">
        <is>
          <t>kind: header
sheet: Charts
ref: A1</t>
        </is>
      </c>
      <c r="G12" s="84" t="inlineStr">
        <is>
          <t>example</t>
        </is>
      </c>
      <c r="H12" s="84" t="inlineStr">
        <is>
          <t>-</t>
        </is>
      </c>
    </row>
  </sheetData>
  <pageMargins left="0.75" right="0.75" top="1" bottom="1" header="0.5" footer="0.5"/>
</worksheet>
</file>

<file path=xl/worksheets/sheet19.xml><?xml version="1.0" encoding="utf-8"?>
<worksheet xmlns="http://schemas.openxmlformats.org/spreadsheetml/2006/main">
  <sheetPr>
    <tabColor rgb="007F7F7F"/>
    <outlinePr summaryBelow="1" summaryRight="1"/>
    <pageSetUpPr/>
  </sheetPr>
  <dimension ref="A1:A74"/>
  <sheetViews>
    <sheetView showGridLines="0" workbookViewId="0">
      <pane ySplit="1" topLeftCell="A2" activePane="bottomLeft" state="frozen"/>
      <selection pane="bottomLeft" activeCell="A1" sqref="A1"/>
    </sheetView>
  </sheetViews>
  <sheetFormatPr baseColWidth="8" defaultRowHeight="15"/>
  <cols>
    <col width="111.4285714285714" customWidth="1" min="1" max="1"/>
  </cols>
  <sheetData>
    <row r="1">
      <c r="A1" s="85" t="inlineStr">
        <is>
          <t>Polish reference - the op vocabulary (GENERATED from the code - do not edit)</t>
        </is>
      </c>
    </row>
    <row r="2">
      <c r="A2" s="78" t="inlineStr"/>
    </row>
    <row r="3">
      <c r="A3" s="78" t="inlineStr">
        <is>
          <t>Rendered by tools/register_polish.py at spec polish-v02.</t>
        </is>
      </c>
    </row>
    <row r="4">
      <c r="A4" s="78" t="inlineStr">
        <is>
          <t>The repo is canonical: config/polish_spec.yaml holds the steps, this tab only</t>
        </is>
      </c>
    </row>
    <row r="5">
      <c r="A5" s="78" t="inlineStr">
        <is>
          <t>describes what a step may contain. Editing here has no effect.</t>
        </is>
      </c>
    </row>
    <row r="6">
      <c r="A6" s="78" t="inlineStr"/>
    </row>
    <row r="7">
      <c r="A7" s="79" t="inlineStr">
        <is>
          <t>HOW TO REQUEST A CHANGE</t>
        </is>
      </c>
    </row>
    <row r="8">
      <c r="A8" s="78" t="inlineStr">
        <is>
          <t xml:space="preserve">  Add a row to the Polish Inbox tab with Status = pending and an op: payload</t>
        </is>
      </c>
    </row>
    <row r="9">
      <c r="A9" s="78" t="inlineStr">
        <is>
          <t xml:space="preserve">  built from the table below. Do NOT hand-format cells - the next build</t>
        </is>
      </c>
    </row>
    <row r="10">
      <c r="A10" s="78" t="inlineStr">
        <is>
          <t xml:space="preserve">  regenerates them and your work is silently discarded.</t>
        </is>
      </c>
    </row>
    <row r="11">
      <c r="A11" s="78" t="inlineStr">
        <is>
          <t xml:space="preserve">  An invalid payload is rejected in place, with the reason written into the</t>
        </is>
      </c>
    </row>
    <row r="12">
      <c r="A12" s="78" t="inlineStr">
        <is>
          <t xml:space="preserve">  'Merged in' column. It never reaches the spec.</t>
        </is>
      </c>
    </row>
    <row r="13">
      <c r="A13" s="78" t="inlineStr"/>
    </row>
    <row r="14">
      <c r="A14" s="79" t="inlineStr">
        <is>
          <t>WHAT THE POLISH LAYER MAY CHANGE</t>
        </is>
      </c>
    </row>
    <row r="15">
      <c r="A15" s="78" t="inlineStr">
        <is>
          <t xml:space="preserve">  fill, column width, number format, alignment, freeze panes, column grouping,</t>
        </is>
      </c>
    </row>
    <row r="16">
      <c r="A16" s="78" t="inlineStr">
        <is>
          <t xml:space="preserve">  charts, sheet order.</t>
        </is>
      </c>
    </row>
    <row r="17">
      <c r="A17" s="78" t="inlineStr"/>
    </row>
    <row r="18">
      <c r="A18" s="79" t="inlineStr">
        <is>
          <t>WHAT IT MUST NEVER CHANGE</t>
        </is>
      </c>
    </row>
    <row r="19">
      <c r="A19" s="78" t="inlineStr">
        <is>
          <t xml:space="preserve">  font colour (blue = input, black = formula, amber fill = model write-back,</t>
        </is>
      </c>
    </row>
    <row r="20">
      <c r="A20" s="78" t="inlineStr">
        <is>
          <t xml:space="preserve">    thin blue border = model-read - the TOC legend depends on it),</t>
        </is>
      </c>
    </row>
    <row r="21">
      <c r="A21" s="78" t="inlineStr">
        <is>
          <t xml:space="preserve">  cell values or formulas, named ranges, anything on a model tab.</t>
        </is>
      </c>
    </row>
    <row r="22">
      <c r="A22" s="78" t="inlineStr">
        <is>
          <t xml:space="preserve">  Risk Register / Simulation / Methodology are formatting-only surfaces.</t>
        </is>
      </c>
    </row>
    <row r="23">
      <c r="A23" s="78" t="inlineStr"/>
    </row>
    <row r="24">
      <c r="A24" s="78" t="inlineStr">
        <is>
          <t xml:space="preserve">  format keys : coef, days, int0, mm, money, money0, pct, pct0, plvl, thou</t>
        </is>
      </c>
    </row>
    <row r="25">
      <c r="A25" s="78" t="inlineStr">
        <is>
          <t xml:space="preserve">  palette keys: blue, green, grey, highlight, mute, navy, orange, red</t>
        </is>
      </c>
    </row>
    <row r="26">
      <c r="A26" s="78" t="inlineStr"/>
    </row>
    <row r="27">
      <c r="A27" s="78" t="inlineStr">
        <is>
          <t>===============================================================================================</t>
        </is>
      </c>
    </row>
    <row r="28">
      <c r="A28" s="79" t="inlineStr">
        <is>
          <t>OP KINDS</t>
        </is>
      </c>
    </row>
    <row r="29">
      <c r="A29" s="78" t="inlineStr">
        <is>
          <t>===============================================================================================</t>
        </is>
      </c>
    </row>
    <row r="30">
      <c r="A30" s="78" t="inlineStr"/>
    </row>
    <row r="31">
      <c r="A31" s="78" t="inlineStr">
        <is>
          <t xml:space="preserve">  kind                 required                               optional                           what it does</t>
        </is>
      </c>
    </row>
    <row r="32">
      <c r="A32" s="78" t="inlineStr">
        <is>
          <t xml:space="preserve">  align                ref                                    horizontal, vertical, wrap         Set alignment on a range</t>
        </is>
      </c>
    </row>
    <row r="33">
      <c r="A33" s="78" t="inlineStr">
        <is>
          <t xml:space="preserve">  assert_convention    -                                      -                                  Audit-trail marker; the guard does the work</t>
        </is>
      </c>
    </row>
    <row r="34">
      <c r="A34" s="78" t="inlineStr">
        <is>
          <t xml:space="preserve">  autofit_all          -                                      -                                  Width pass over every sheet; widths: overrides win</t>
        </is>
      </c>
    </row>
    <row r="35">
      <c r="A35" s="78" t="inlineStr">
        <is>
          <t xml:space="preserve">  band_headers         bands                                  -                                  bands: [{ref, fill}] - centerContinuous, never merged</t>
        </is>
      </c>
    </row>
    <row r="36">
      <c r="A36" s="78" t="inlineStr">
        <is>
          <t xml:space="preserve">  band_rows            cols, fill                             rows, labels, optional             Full-width section band; prefer labels: over rows:</t>
        </is>
      </c>
    </row>
    <row r="37">
      <c r="A37" s="78" t="inlineStr">
        <is>
          <t xml:space="preserve">  bold                 ref                                    -                                  Bold a range, nothing else</t>
        </is>
      </c>
    </row>
    <row r="38">
      <c r="A38" s="78" t="inlineStr">
        <is>
          <t xml:space="preserve">  chart                name, type, anchor, size               title, legend, data, cats, x, y, series_style, data_labels, reverse_categories Add a chart; type: bar|col|line|scatter|doughnut</t>
        </is>
      </c>
    </row>
    <row r="39">
      <c r="A39" s="78" t="inlineStr">
        <is>
          <t xml:space="preserve">  composite            ops                                    -                                  Run a list of ops in order</t>
        </is>
      </c>
    </row>
    <row r="40">
      <c r="A40" s="78" t="inlineStr">
        <is>
          <t xml:space="preserve">  create_sheet         name, index                            tab_color, gridlines               Add or recreate a sheet</t>
        </is>
      </c>
    </row>
    <row r="41">
      <c r="A41" s="78" t="inlineStr">
        <is>
          <t xml:space="preserve">  fill_rows            cols, fill                             rows, labels, optional             Fill only, font untouched - highlights that keep dark text</t>
        </is>
      </c>
    </row>
    <row r="42">
      <c r="A42" s="78" t="inlineStr">
        <is>
          <t xml:space="preserve">  formula_fill         anchor, count, template                -                                  Fill one column; {12+i} in the template expands per row</t>
        </is>
      </c>
    </row>
    <row r="43">
      <c r="A43" s="78" t="inlineStr">
        <is>
          <t xml:space="preserve">  formula_fill_2col    anchor, count, templates               formats                            formula_fill_n, 2 columns</t>
        </is>
      </c>
    </row>
    <row r="44">
      <c r="A44" s="78" t="inlineStr">
        <is>
          <t xml:space="preserve">  formula_fill_4col    anchor, count, templates               formats                            formula_fill_n, 4 columns</t>
        </is>
      </c>
    </row>
    <row r="45">
      <c r="A45" s="78" t="inlineStr">
        <is>
          <t xml:space="preserve">  formula_fill_n       anchor, count, templates               formats                            Fill N adjacent columns, one template each</t>
        </is>
      </c>
    </row>
    <row r="46">
      <c r="A46" s="78" t="inlineStr">
        <is>
          <t xml:space="preserve">  freeze               ref                                    -                                  Freeze panes at ref</t>
        </is>
      </c>
    </row>
    <row r="47">
      <c r="A47" s="78" t="inlineStr">
        <is>
          <t xml:space="preserve">  gridlines            show                                   -                                  Show or hide gridlines</t>
        </is>
      </c>
    </row>
    <row r="48">
      <c r="A48" s="78" t="inlineStr">
        <is>
          <t xml:space="preserve">  group_columns        first, last                            -                                  Collapsible column outline</t>
        </is>
      </c>
    </row>
    <row r="49">
      <c r="A49" s="78" t="inlineStr">
        <is>
          <t xml:space="preserve">  header               ref                                    height                             Navy fill, white bold, centred, wrapped</t>
        </is>
      </c>
    </row>
    <row r="50">
      <c r="A50" s="78" t="inlineStr">
        <is>
          <t xml:space="preserve">  note                 ref                                    size, bold, italic, color          Small caption or provenance line</t>
        </is>
      </c>
    </row>
    <row r="51">
      <c r="A51" s="78" t="inlineStr">
        <is>
          <t xml:space="preserve">  numfmt               map                                    -                                  map: {format_key: [ranges]} - keys from formats:</t>
        </is>
      </c>
    </row>
    <row r="52">
      <c r="A52" s="78" t="inlineStr">
        <is>
          <t xml:space="preserve">  protect_sheet        name                                   -                                  Lock a sheet</t>
        </is>
      </c>
    </row>
    <row r="53">
      <c r="A53" s="78" t="inlineStr">
        <is>
          <t xml:space="preserve">  protect_workbook     -                                      -                                  Restore workbook structure protection</t>
        </is>
      </c>
    </row>
    <row r="54">
      <c r="A54" s="78" t="inlineStr">
        <is>
          <t xml:space="preserve">  set                  ref, value                             -                                  Write a literal or formula into one cell</t>
        </is>
      </c>
    </row>
    <row r="55">
      <c r="A55" s="78" t="inlineStr">
        <is>
          <t xml:space="preserve">  sheet_order          order                                  -                                  Reorder tabs; unnamed sheets follow</t>
        </is>
      </c>
    </row>
    <row r="56">
      <c r="A56" s="78" t="inlineStr">
        <is>
          <t xml:space="preserve">  title                ref                                    size                               Bold navy heading</t>
        </is>
      </c>
    </row>
    <row r="57">
      <c r="A57" s="78" t="inlineStr">
        <is>
          <t xml:space="preserve">  toc_inventory        header, ends_before, legend_header, legend descriptions, overrides            Rebuild the tab inventory + cell-type legend from the sheet list</t>
        </is>
      </c>
    </row>
    <row r="58">
      <c r="A58" s="78" t="inlineStr">
        <is>
          <t xml:space="preserve">  unprotect_workbook   -                                      -                                  Release workbook structure protection</t>
        </is>
      </c>
    </row>
    <row r="59">
      <c r="A59" s="78" t="inlineStr"/>
    </row>
    <row r="60">
      <c r="A60" s="78" t="inlineStr">
        <is>
          <t xml:space="preserve">  'sheet' is accepted by every op except the workbook-level ones</t>
        </is>
      </c>
    </row>
    <row r="61">
      <c r="A61" s="78" t="inlineStr">
        <is>
          <t xml:space="preserve">  (unprotect_workbook, protect_workbook, sheet_order, create_sheet, protect_sheet).</t>
        </is>
      </c>
    </row>
    <row r="62">
      <c r="A62" s="78" t="inlineStr"/>
    </row>
    <row r="63">
      <c r="A63" s="78" t="inlineStr">
        <is>
          <t>===============================================================================================</t>
        </is>
      </c>
    </row>
    <row r="64">
      <c r="A64" s="79" t="inlineStr">
        <is>
          <t>EXAMPLE</t>
        </is>
      </c>
    </row>
    <row r="65">
      <c r="A65" s="78" t="inlineStr">
        <is>
          <t>===============================================================================================</t>
        </is>
      </c>
    </row>
    <row r="66">
      <c r="A66" s="78" t="inlineStr"/>
    </row>
    <row r="67">
      <c r="A67" s="78" t="inlineStr">
        <is>
          <t xml:space="preserve">  kind: numfmt</t>
        </is>
      </c>
    </row>
    <row r="68">
      <c r="A68" s="78" t="inlineStr">
        <is>
          <t xml:space="preserve">  sheet: Risk Register</t>
        </is>
      </c>
    </row>
    <row r="69">
      <c r="A69" s="78" t="inlineStr">
        <is>
          <t xml:space="preserve">  map:</t>
        </is>
      </c>
    </row>
    <row r="70">
      <c r="A70" s="78" t="inlineStr">
        <is>
          <t xml:space="preserve">    money: [P5:R39]</t>
        </is>
      </c>
    </row>
    <row r="71">
      <c r="A71" s="78" t="inlineStr"/>
    </row>
    <row r="72">
      <c r="A72" s="78" t="inlineStr">
        <is>
          <t xml:space="preserve">  A new op KIND cannot be requested from here - that needs a handler in</t>
        </is>
      </c>
    </row>
    <row r="73">
      <c r="A73" s="78" t="inlineStr">
        <is>
          <t xml:space="preserve">  tools/register_polish.py. Describe the need in the Change column and leave</t>
        </is>
      </c>
    </row>
    <row r="74">
      <c r="A74" s="78" t="inlineStr">
        <is>
          <t xml:space="preserve">  the payload empty; the row will be rejected, which is the correct outcome.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CBL Analytics</dc:creator>
  <dc:title xmlns:dc="http://purl.org/dc/elements/1.1/">Tropic Ridge Wind Farm</dc:title>
  <dcterms:created xmlns:dcterms="http://purl.org/dc/terms/" xmlns:xsi="http://www.w3.org/2001/XMLSchema-instance" xsi:type="dcterms:W3CDTF">2026-09-08T05:00:43Z</dcterms:created>
  <dcterms:modified xmlns:dcterms="http://purl.org/dc/terms/" xmlns:xsi="http://www.w3.org/2001/XMLSchema-instance" xsi:type="dcterms:W3CDTF">2026-09-08T05:06:02Z</dcterms:modified>
</cp:coreProperties>
</file>